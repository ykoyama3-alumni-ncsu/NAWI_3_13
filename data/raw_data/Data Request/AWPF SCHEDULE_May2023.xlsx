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24226"/>
  <mc:AlternateContent xmlns:mc="http://schemas.openxmlformats.org/markup-compatibility/2006">
    <mc:Choice Requires="x15">
      <x15ac:absPath xmlns:x15ac="http://schemas.microsoft.com/office/spreadsheetml/2010/11/ac" url="C:\Users\YKoyama\AppData\Local\Box\Box Edit\Documents\tFjN6xd6nkWKQ+EL3nn50g==\"/>
    </mc:Choice>
  </mc:AlternateContent>
  <xr:revisionPtr revIDLastSave="0" documentId="13_ncr:1_{C8DAE176-D597-45BC-96DB-D308D44B7270}" xr6:coauthVersionLast="47" xr6:coauthVersionMax="47" xr10:uidLastSave="{00000000-0000-0000-0000-000000000000}"/>
  <bookViews>
    <workbookView xWindow="-108" yWindow="-108" windowWidth="23256" windowHeight="12456" activeTab="1" xr2:uid="{00000000-000D-0000-FFFF-FFFF00000000}"/>
  </bookViews>
  <sheets>
    <sheet name="A" sheetId="1" r:id="rId1"/>
    <sheet name="Expanded list" sheetId="2" r:id="rId2"/>
    <sheet name="Method list" sheetId="3" r:id="rId3"/>
  </sheets>
  <definedNames>
    <definedName name="_xlnm._FilterDatabase" localSheetId="2" hidden="1">'Method list'!$A$2:$F$132</definedName>
    <definedName name="_xlnm.Print_Area" localSheetId="0">A!$A$1:$L$67</definedName>
    <definedName name="PRINT1">A!$A$1:$L$61</definedName>
    <definedName name="PRINT2">A!$M$64:$Y$67</definedName>
    <definedName name="PRINT3">A!#REF!</definedName>
    <definedName name="PRINT4">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5" i="2" l="1"/>
  <c r="M3" i="2"/>
  <c r="M4" i="2"/>
  <c r="M7" i="2"/>
  <c r="M9" i="2"/>
  <c r="M10" i="2"/>
  <c r="M14" i="2"/>
  <c r="M19" i="2"/>
  <c r="M20" i="2"/>
  <c r="M21" i="2"/>
  <c r="M22" i="2"/>
  <c r="M23" i="2"/>
  <c r="M24" i="2"/>
  <c r="M27" i="2"/>
  <c r="M28" i="2"/>
  <c r="M29" i="2"/>
  <c r="M30" i="2"/>
  <c r="M31" i="2"/>
  <c r="M32" i="2"/>
  <c r="M33" i="2"/>
  <c r="M34" i="2"/>
  <c r="M35" i="2"/>
  <c r="M36" i="2"/>
  <c r="M37" i="2"/>
  <c r="M38" i="2"/>
  <c r="M44" i="2"/>
  <c r="M50" i="2"/>
  <c r="M2" i="2"/>
  <c r="F60" i="2"/>
  <c r="F6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Dadakis, Jason</author>
  </authors>
  <commentList>
    <comment ref="I42" authorId="0" shapeId="0" xr:uid="{00000000-0006-0000-0000-000002000000}">
      <text>
        <r>
          <rPr>
            <b/>
            <sz val="9"/>
            <color indexed="81"/>
            <rFont val="Tahoma"/>
            <family val="2"/>
          </rPr>
          <t>Dadakis, Jason:</t>
        </r>
        <r>
          <rPr>
            <sz val="9"/>
            <color indexed="81"/>
            <rFont val="Tahoma"/>
            <family val="2"/>
          </rPr>
          <t xml:space="preserve">
Permit requires "RO permeate" monitoring to assure that UV disinfection requirements can be met, but doesn't specify specific ROP location.  The continuous online analyzer (COL) used by the plant is located at UVF station (after H2O2), so we've moved the sample location to support/backup COL.  We report the online data for permit compliance.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Dadakis, Jason</author>
  </authors>
  <commentList>
    <comment ref="I34" authorId="0" shapeId="0" xr:uid="{16645107-6416-421E-9AE6-1E4B994A209C}">
      <text>
        <r>
          <rPr>
            <b/>
            <sz val="9"/>
            <color indexed="81"/>
            <rFont val="Tahoma"/>
            <family val="2"/>
          </rPr>
          <t>Dadakis, Jason:</t>
        </r>
        <r>
          <rPr>
            <sz val="9"/>
            <color indexed="81"/>
            <rFont val="Tahoma"/>
            <family val="2"/>
          </rPr>
          <t xml:space="preserve">
Permit requires "RO permeate" monitoring to assure that UV disinfection requirements can be met, but doesn't specify specific ROP location.  The continuous online analyzer (COL) used by the plant is located at UVF station (after H2O2), so we've moved the sample location to support/backup COL.  We report the online data for permit compliance.</t>
        </r>
      </text>
    </comment>
  </commentList>
</comments>
</file>

<file path=xl/sharedStrings.xml><?xml version="1.0" encoding="utf-8"?>
<sst xmlns="http://schemas.openxmlformats.org/spreadsheetml/2006/main" count="1098" uniqueCount="389">
  <si>
    <t>EC</t>
  </si>
  <si>
    <t>TDS</t>
  </si>
  <si>
    <t>WC</t>
  </si>
  <si>
    <t>WG</t>
  </si>
  <si>
    <t>pH</t>
  </si>
  <si>
    <t>Na</t>
  </si>
  <si>
    <t>MC</t>
  </si>
  <si>
    <t>Ca</t>
  </si>
  <si>
    <t>HWC</t>
  </si>
  <si>
    <t>TH</t>
  </si>
  <si>
    <t>F</t>
  </si>
  <si>
    <t>Cl</t>
  </si>
  <si>
    <t>Br</t>
  </si>
  <si>
    <t>B</t>
  </si>
  <si>
    <t>TOC</t>
  </si>
  <si>
    <t>MBAS</t>
  </si>
  <si>
    <t>Color</t>
  </si>
  <si>
    <t>CN</t>
  </si>
  <si>
    <t>MG</t>
  </si>
  <si>
    <t>Turbidity</t>
  </si>
  <si>
    <t>Radioactivity</t>
  </si>
  <si>
    <t>QC</t>
  </si>
  <si>
    <t>C = Composite Sample</t>
  </si>
  <si>
    <t>G = Grab Sample</t>
  </si>
  <si>
    <t>Total Alkalinity</t>
  </si>
  <si>
    <t>Total Coliforms</t>
  </si>
  <si>
    <t>Suspended Solids</t>
  </si>
  <si>
    <r>
      <t>OH/CO</t>
    </r>
    <r>
      <rPr>
        <b/>
        <vertAlign val="subscript"/>
        <sz val="12"/>
        <rFont val="Bookman Old Style"/>
        <family val="1"/>
      </rPr>
      <t>3</t>
    </r>
    <r>
      <rPr>
        <b/>
        <sz val="12"/>
        <rFont val="Bookman Old Style"/>
        <family val="1"/>
      </rPr>
      <t>/HCO</t>
    </r>
    <r>
      <rPr>
        <b/>
        <vertAlign val="subscript"/>
        <sz val="12"/>
        <rFont val="Bookman Old Style"/>
        <family val="1"/>
      </rPr>
      <t>3</t>
    </r>
  </si>
  <si>
    <r>
      <t>NO</t>
    </r>
    <r>
      <rPr>
        <b/>
        <vertAlign val="subscript"/>
        <sz val="12"/>
        <rFont val="Bookman Old Style"/>
        <family val="1"/>
      </rPr>
      <t>3</t>
    </r>
    <r>
      <rPr>
        <b/>
        <sz val="12"/>
        <rFont val="Bookman Old Style"/>
        <family val="1"/>
      </rPr>
      <t>+NO</t>
    </r>
    <r>
      <rPr>
        <b/>
        <vertAlign val="subscript"/>
        <sz val="12"/>
        <rFont val="Bookman Old Style"/>
        <family val="1"/>
      </rPr>
      <t>2</t>
    </r>
    <r>
      <rPr>
        <b/>
        <sz val="12"/>
        <rFont val="Bookman Old Style"/>
        <family val="1"/>
      </rPr>
      <t>-N</t>
    </r>
  </si>
  <si>
    <r>
      <t>PO</t>
    </r>
    <r>
      <rPr>
        <b/>
        <vertAlign val="subscript"/>
        <sz val="12"/>
        <rFont val="Bookman Old Style"/>
        <family val="1"/>
      </rPr>
      <t>4</t>
    </r>
    <r>
      <rPr>
        <b/>
        <sz val="12"/>
        <rFont val="Bookman Old Style"/>
        <family val="1"/>
      </rPr>
      <t>-P (ortho)</t>
    </r>
  </si>
  <si>
    <r>
      <t>SO</t>
    </r>
    <r>
      <rPr>
        <b/>
        <vertAlign val="subscript"/>
        <sz val="12"/>
        <rFont val="Bookman Old Style"/>
        <family val="1"/>
      </rPr>
      <t>4</t>
    </r>
  </si>
  <si>
    <r>
      <t>SiO</t>
    </r>
    <r>
      <rPr>
        <b/>
        <vertAlign val="subscript"/>
        <sz val="12"/>
        <rFont val="Bookman Old Style"/>
        <family val="1"/>
      </rPr>
      <t>2</t>
    </r>
  </si>
  <si>
    <r>
      <t>Residual Cl</t>
    </r>
    <r>
      <rPr>
        <b/>
        <vertAlign val="subscript"/>
        <sz val="12"/>
        <rFont val="Bookman Old Style"/>
        <family val="1"/>
      </rPr>
      <t>2</t>
    </r>
  </si>
  <si>
    <r>
      <t>ClO</t>
    </r>
    <r>
      <rPr>
        <b/>
        <vertAlign val="subscript"/>
        <sz val="12"/>
        <rFont val="Bookman Old Style"/>
        <family val="1"/>
      </rPr>
      <t>4</t>
    </r>
  </si>
  <si>
    <t>Fe</t>
  </si>
  <si>
    <t>COL</t>
  </si>
  <si>
    <r>
      <t>NO</t>
    </r>
    <r>
      <rPr>
        <b/>
        <vertAlign val="subscript"/>
        <sz val="12"/>
        <rFont val="Bookman Old Style"/>
        <family val="1"/>
      </rPr>
      <t>3</t>
    </r>
    <r>
      <rPr>
        <b/>
        <sz val="12"/>
        <rFont val="Bookman Old Style"/>
        <family val="1"/>
      </rPr>
      <t>-N</t>
    </r>
  </si>
  <si>
    <t>Corrosivity</t>
  </si>
  <si>
    <t>QG</t>
  </si>
  <si>
    <t>DG</t>
  </si>
  <si>
    <r>
      <t>Trace Elements</t>
    </r>
    <r>
      <rPr>
        <b/>
        <vertAlign val="superscript"/>
        <sz val="12"/>
        <rFont val="Bookman Old Style"/>
        <family val="1"/>
      </rPr>
      <t>1</t>
    </r>
  </si>
  <si>
    <r>
      <t>Priority Pollutants</t>
    </r>
    <r>
      <rPr>
        <b/>
        <vertAlign val="superscript"/>
        <sz val="12"/>
        <rFont val="Bookman Old Style"/>
        <family val="1"/>
      </rPr>
      <t>2</t>
    </r>
  </si>
  <si>
    <r>
      <t>NO</t>
    </r>
    <r>
      <rPr>
        <b/>
        <vertAlign val="subscript"/>
        <sz val="12"/>
        <rFont val="Bookman Old Style"/>
        <family val="1"/>
      </rPr>
      <t>2</t>
    </r>
    <r>
      <rPr>
        <b/>
        <sz val="12"/>
        <rFont val="Bookman Old Style"/>
        <family val="1"/>
      </rPr>
      <t>-N</t>
    </r>
  </si>
  <si>
    <t>Threshold Odor</t>
  </si>
  <si>
    <t>Q-1</t>
  </si>
  <si>
    <t>BOD*</t>
  </si>
  <si>
    <r>
      <t>H</t>
    </r>
    <r>
      <rPr>
        <b/>
        <vertAlign val="subscript"/>
        <sz val="12"/>
        <rFont val="Bookman Old Style"/>
        <family val="1"/>
      </rPr>
      <t>2</t>
    </r>
    <r>
      <rPr>
        <b/>
        <sz val="12"/>
        <rFont val="Bookman Old Style"/>
        <family val="1"/>
      </rPr>
      <t>O</t>
    </r>
    <r>
      <rPr>
        <b/>
        <vertAlign val="subscript"/>
        <sz val="12"/>
        <rFont val="Bookman Old Style"/>
        <family val="1"/>
      </rPr>
      <t>2</t>
    </r>
  </si>
  <si>
    <t>D = Daily (7-day/wk.)</t>
  </si>
  <si>
    <t>WC = Weekly Composite (day of week rotates)</t>
  </si>
  <si>
    <t>HWC = Acid-preserved Composite, collected Wed.</t>
  </si>
  <si>
    <t>DC/WG</t>
  </si>
  <si>
    <t>2WG/MG</t>
  </si>
  <si>
    <t>Inorganic DBPs</t>
  </si>
  <si>
    <t>Ca Hardness</t>
  </si>
  <si>
    <t>K/Mg</t>
  </si>
  <si>
    <t>Mn</t>
  </si>
  <si>
    <t>FPW</t>
  </si>
  <si>
    <t>* - Analysis outsourced</t>
  </si>
  <si>
    <t>Oil and Grease*</t>
  </si>
  <si>
    <r>
      <t>1</t>
    </r>
    <r>
      <rPr>
        <b/>
        <sz val="10"/>
        <rFont val="Bookman Old Style"/>
        <family val="1"/>
      </rPr>
      <t xml:space="preserve"> - Includes  Ag,Al,As,Ba,Be,Cd,Co,Cr,Cr</t>
    </r>
    <r>
      <rPr>
        <b/>
        <vertAlign val="superscript"/>
        <sz val="10"/>
        <rFont val="Bookman Old Style"/>
        <family val="1"/>
      </rPr>
      <t>+6</t>
    </r>
    <r>
      <rPr>
        <b/>
        <sz val="10"/>
        <rFont val="Bookman Old Style"/>
        <family val="1"/>
      </rPr>
      <t>,Cu,Hg,Ni,Pb,Sb,Se,Tl,V,Zn</t>
    </r>
  </si>
  <si>
    <t>Asbestos*</t>
  </si>
  <si>
    <t>MFC</t>
  </si>
  <si>
    <t>MFF</t>
  </si>
  <si>
    <t>ROF</t>
  </si>
  <si>
    <t>ROC</t>
  </si>
  <si>
    <t>UVF</t>
  </si>
  <si>
    <t>DPW</t>
  </si>
  <si>
    <t>COL = Continuous On-Line measurement</t>
  </si>
  <si>
    <t>changes to schedule are printed in reverse text</t>
  </si>
  <si>
    <t>M = Monthly (representative Wed.)</t>
  </si>
  <si>
    <t>Q = Quarterly (representative Wed. of Jan., Apr., Jul., Oct.)</t>
  </si>
  <si>
    <t>E. coli</t>
  </si>
  <si>
    <t>GWRS AWPF SAMPLE SCHEDULE</t>
  </si>
  <si>
    <t>CEC (full)</t>
  </si>
  <si>
    <t>DC/COL</t>
  </si>
  <si>
    <t>WG/COL</t>
  </si>
  <si>
    <t>WG/MC</t>
  </si>
  <si>
    <r>
      <t>DG/</t>
    </r>
    <r>
      <rPr>
        <sz val="10"/>
        <rFont val="Bookman Old Style"/>
        <family val="1"/>
      </rPr>
      <t>COL</t>
    </r>
  </si>
  <si>
    <r>
      <t>WG/</t>
    </r>
    <r>
      <rPr>
        <b/>
        <sz val="10"/>
        <rFont val="Bookman Old Style"/>
        <family val="1"/>
      </rPr>
      <t>COL</t>
    </r>
  </si>
  <si>
    <t>14DIOX/NDMA/VOC</t>
  </si>
  <si>
    <r>
      <rPr>
        <sz val="10"/>
        <rFont val="Bookman Old Style"/>
        <family val="1"/>
      </rPr>
      <t>WG</t>
    </r>
    <r>
      <rPr>
        <b/>
        <sz val="10"/>
        <rFont val="Bookman Old Style"/>
        <family val="1"/>
      </rPr>
      <t>/COL</t>
    </r>
  </si>
  <si>
    <t>WG = Weekly Grab (Wed.); 1,4-Dioxane/NDMA/VOC are Fri.</t>
  </si>
  <si>
    <t>\</t>
  </si>
  <si>
    <t>UVP</t>
  </si>
  <si>
    <t>MFE</t>
  </si>
  <si>
    <t>UV%T-254/UVAB</t>
  </si>
  <si>
    <t>DOC</t>
  </si>
  <si>
    <r>
      <rPr>
        <b/>
        <sz val="10"/>
        <rFont val="Bookman Old Style"/>
        <family val="1"/>
      </rPr>
      <t>AG</t>
    </r>
    <r>
      <rPr>
        <sz val="10"/>
        <rFont val="Bookman Old Style"/>
        <family val="1"/>
      </rPr>
      <t>/QG</t>
    </r>
  </si>
  <si>
    <r>
      <rPr>
        <b/>
        <sz val="10"/>
        <rFont val="Bookman Old Style"/>
        <family val="1"/>
      </rPr>
      <t>AG</t>
    </r>
    <r>
      <rPr>
        <sz val="10"/>
        <rFont val="Bookman Old Style"/>
        <family val="1"/>
      </rPr>
      <t>/</t>
    </r>
    <r>
      <rPr>
        <sz val="10"/>
        <color indexed="8"/>
        <rFont val="Bookman Old Style"/>
        <family val="1"/>
      </rPr>
      <t>WG</t>
    </r>
  </si>
  <si>
    <r>
      <t>NH</t>
    </r>
    <r>
      <rPr>
        <b/>
        <vertAlign val="subscript"/>
        <sz val="12"/>
        <rFont val="Bookman Old Style"/>
        <family val="1"/>
      </rPr>
      <t>3</t>
    </r>
    <r>
      <rPr>
        <b/>
        <sz val="12"/>
        <rFont val="Bookman Old Style"/>
        <family val="1"/>
      </rPr>
      <t>-N</t>
    </r>
  </si>
  <si>
    <t>Org-N / TKN</t>
  </si>
  <si>
    <t>ROP</t>
  </si>
  <si>
    <t>Revised May 1, 2023</t>
  </si>
  <si>
    <t>TIN / Total Nitrogen</t>
  </si>
  <si>
    <t>2WG = Twice/week grab collected on Mon. &amp; Thu.</t>
  </si>
  <si>
    <t>AG</t>
  </si>
  <si>
    <t>MC/QG</t>
  </si>
  <si>
    <t>AG/QG</t>
  </si>
  <si>
    <r>
      <t>2</t>
    </r>
    <r>
      <rPr>
        <b/>
        <sz val="10"/>
        <color theme="0"/>
        <rFont val="Bookman Old Style"/>
        <family val="1"/>
      </rPr>
      <t xml:space="preserve"> - Includes Ag,As,Be,Cd,Cr</t>
    </r>
    <r>
      <rPr>
        <b/>
        <vertAlign val="superscript"/>
        <sz val="10"/>
        <color theme="0"/>
        <rFont val="Bookman Old Style"/>
        <family val="1"/>
      </rPr>
      <t>+3</t>
    </r>
    <r>
      <rPr>
        <b/>
        <sz val="10"/>
        <color theme="0"/>
        <rFont val="Bookman Old Style"/>
        <family val="1"/>
      </rPr>
      <t>,Cr</t>
    </r>
    <r>
      <rPr>
        <b/>
        <vertAlign val="superscript"/>
        <sz val="10"/>
        <color theme="0"/>
        <rFont val="Bookman Old Style"/>
        <family val="1"/>
      </rPr>
      <t>+6</t>
    </r>
    <r>
      <rPr>
        <b/>
        <sz val="10"/>
        <color theme="0"/>
        <rFont val="Bookman Old Style"/>
        <family val="1"/>
      </rPr>
      <t>,Cu,Gd,Hg,Mo,Ni,Pb,Sb,Se,Sr,Tl,U,Zn, and parameters in Tables I and II of the GWRS permit</t>
    </r>
  </si>
  <si>
    <t>A = Annual (rotates by quarter beginning Jan. 2023)</t>
  </si>
  <si>
    <t>WG (Fri.)</t>
  </si>
  <si>
    <t>COMMON INORGANIC TEST-SERIES</t>
  </si>
  <si>
    <t>Parameter Name</t>
  </si>
  <si>
    <t>Method</t>
  </si>
  <si>
    <t>Parameter Abbrev.</t>
  </si>
  <si>
    <t>GENLVLII</t>
  </si>
  <si>
    <t>RO-COMM</t>
  </si>
  <si>
    <t>METALS</t>
  </si>
  <si>
    <t>Silver</t>
  </si>
  <si>
    <t>X200.8</t>
  </si>
  <si>
    <t>Ag</t>
  </si>
  <si>
    <t>Silver (dissolved)</t>
  </si>
  <si>
    <t>X200.8D</t>
  </si>
  <si>
    <t>Ag-DIS</t>
  </si>
  <si>
    <t/>
  </si>
  <si>
    <t>Aggressive Index</t>
  </si>
  <si>
    <t>AI</t>
  </si>
  <si>
    <t>Aluminum</t>
  </si>
  <si>
    <t>Al</t>
  </si>
  <si>
    <t>Aluminum (dissolved)</t>
  </si>
  <si>
    <t>Al-DIS</t>
  </si>
  <si>
    <t>Alkalinity-Phenolphthalein</t>
  </si>
  <si>
    <t>2320B</t>
  </si>
  <si>
    <t>ALKPHE</t>
  </si>
  <si>
    <t>Apparent Color (unfiltered)</t>
  </si>
  <si>
    <t>2120B</t>
  </si>
  <si>
    <t>APCOLR</t>
  </si>
  <si>
    <t>Arsenic</t>
  </si>
  <si>
    <t>As</t>
  </si>
  <si>
    <t>Arsenic (dissolved)</t>
  </si>
  <si>
    <t>As-DIS</t>
  </si>
  <si>
    <t>Boron</t>
  </si>
  <si>
    <t>X200.7</t>
  </si>
  <si>
    <t>Barium</t>
  </si>
  <si>
    <t>Ba</t>
  </si>
  <si>
    <t>Barium (dissolved)</t>
  </si>
  <si>
    <t>Ba-DIS</t>
  </si>
  <si>
    <t>Boron (dissolved)</t>
  </si>
  <si>
    <t>X200.7D</t>
  </si>
  <si>
    <t>B-DIS</t>
  </si>
  <si>
    <t>Beryllium</t>
  </si>
  <si>
    <t>Be</t>
  </si>
  <si>
    <t>Beryllium (dissolved)</t>
  </si>
  <si>
    <t>Be-DIS</t>
  </si>
  <si>
    <t>Bromide</t>
  </si>
  <si>
    <t>300.1B</t>
  </si>
  <si>
    <t>Bromate</t>
  </si>
  <si>
    <t>BrO3</t>
  </si>
  <si>
    <t>Calcium</t>
  </si>
  <si>
    <t>Calcium (dissolved)</t>
  </si>
  <si>
    <t>Ca-DIS</t>
  </si>
  <si>
    <t>Calcium Hardness</t>
  </si>
  <si>
    <t>CaHRD</t>
  </si>
  <si>
    <t>Cadmium</t>
  </si>
  <si>
    <t>Cd</t>
  </si>
  <si>
    <t>Cadmium (dissolved)</t>
  </si>
  <si>
    <t>Cd-DIS</t>
  </si>
  <si>
    <t>Chloride</t>
  </si>
  <si>
    <t>X1-300.0</t>
  </si>
  <si>
    <t>Chlorite</t>
  </si>
  <si>
    <t>CLO2</t>
  </si>
  <si>
    <t>Chlorate</t>
  </si>
  <si>
    <t>CLO3</t>
  </si>
  <si>
    <t>Perchlorate</t>
  </si>
  <si>
    <t>CLO4</t>
  </si>
  <si>
    <t>Cyanide</t>
  </si>
  <si>
    <t>X1-335.4</t>
  </si>
  <si>
    <t>Cobalt</t>
  </si>
  <si>
    <t>Co</t>
  </si>
  <si>
    <t>Carbonate (as CO3)</t>
  </si>
  <si>
    <t>CO3</t>
  </si>
  <si>
    <t>Carbonate (as CaCO3)</t>
  </si>
  <si>
    <t>CO3Ca</t>
  </si>
  <si>
    <t>Filtered Chemical Oxygen Demand</t>
  </si>
  <si>
    <t>5220B</t>
  </si>
  <si>
    <t>CODFIL</t>
  </si>
  <si>
    <t>Cobalt (dissolved)</t>
  </si>
  <si>
    <t>Co-DIS</t>
  </si>
  <si>
    <t>Unfiltered Chemical Oxygen Demand</t>
  </si>
  <si>
    <t>CODUNF</t>
  </si>
  <si>
    <t>CORROSIV</t>
  </si>
  <si>
    <t>CORROS</t>
  </si>
  <si>
    <t>Chromium</t>
  </si>
  <si>
    <t>Cr</t>
  </si>
  <si>
    <t>Chromium (dissolved)</t>
  </si>
  <si>
    <t>Cr-DIS</t>
  </si>
  <si>
    <t>Trivalent Chromium</t>
  </si>
  <si>
    <t>CrIII</t>
  </si>
  <si>
    <t>Hexavalent Chromium</t>
  </si>
  <si>
    <t>X1-218.6</t>
  </si>
  <si>
    <t>CrVI</t>
  </si>
  <si>
    <t>Copper</t>
  </si>
  <si>
    <t>Cu</t>
  </si>
  <si>
    <t>Copper (dissolved)</t>
  </si>
  <si>
    <t>Cu-DIS</t>
  </si>
  <si>
    <t>Dissolved Sulfide</t>
  </si>
  <si>
    <t>4500S2-D</t>
  </si>
  <si>
    <t>DISSUL</t>
  </si>
  <si>
    <t>Dissolved Organic Carbon</t>
  </si>
  <si>
    <t>5310C</t>
  </si>
  <si>
    <t>Dissolved Organic Nitrogen - 0.45 um</t>
  </si>
  <si>
    <t>X1-351.2</t>
  </si>
  <si>
    <t>DON</t>
  </si>
  <si>
    <t>Electrical Conductivity</t>
  </si>
  <si>
    <t>2510B</t>
  </si>
  <si>
    <t>E. Coli (Colilert - MPN/100mL)</t>
  </si>
  <si>
    <t>9223BM</t>
  </si>
  <si>
    <t>ECOLIQ</t>
  </si>
  <si>
    <t>Fluoride</t>
  </si>
  <si>
    <t>Fecal Coliform (Membrane Filtration-CFU/100ml)</t>
  </si>
  <si>
    <t>FCOLIF</t>
  </si>
  <si>
    <t>Fecal Coliform (Mult. Tube Fermentation)</t>
  </si>
  <si>
    <t>9221E</t>
  </si>
  <si>
    <t>FCOLIM</t>
  </si>
  <si>
    <t>Iron</t>
  </si>
  <si>
    <t>Iron (dissolved)</t>
  </si>
  <si>
    <t>Fe-DIS</t>
  </si>
  <si>
    <t>Free Chlorine</t>
  </si>
  <si>
    <t>4500CLF</t>
  </si>
  <si>
    <t>FRCL2</t>
  </si>
  <si>
    <t>Free Res. Chlorine -- Amperometric Method</t>
  </si>
  <si>
    <t>4500CLD</t>
  </si>
  <si>
    <t>FRCL2A</t>
  </si>
  <si>
    <t>Gadolinium</t>
  </si>
  <si>
    <t>Gd</t>
  </si>
  <si>
    <t>Gadolinium (dissolved)</t>
  </si>
  <si>
    <t>Gd-DIS</t>
  </si>
  <si>
    <t>Hydrogen Peroxide</t>
  </si>
  <si>
    <t>H2O2</t>
  </si>
  <si>
    <t>Bicarbonate (as HCO3)</t>
  </si>
  <si>
    <t>HCO3</t>
  </si>
  <si>
    <t>Bicarbonate (as CaCO3)</t>
  </si>
  <si>
    <t>HCO3Ca</t>
  </si>
  <si>
    <t>Mercury</t>
  </si>
  <si>
    <t>Hg</t>
  </si>
  <si>
    <t>Mercury (dissolved)</t>
  </si>
  <si>
    <t>Hg-DIS</t>
  </si>
  <si>
    <t>Heterotrophic Plate Count (pour plate-CFU/1ml)</t>
  </si>
  <si>
    <t>9215B</t>
  </si>
  <si>
    <t>HPCPP</t>
  </si>
  <si>
    <t>Heterotrophic Plate Count (spread plate)</t>
  </si>
  <si>
    <t>9215C</t>
  </si>
  <si>
    <t>HPCSP</t>
  </si>
  <si>
    <t>Potassium</t>
  </si>
  <si>
    <t>K</t>
  </si>
  <si>
    <t>Potassium (dissolved)</t>
  </si>
  <si>
    <t>K-DIS</t>
  </si>
  <si>
    <t>Surfactants</t>
  </si>
  <si>
    <t>5540C</t>
  </si>
  <si>
    <t>Magnesium</t>
  </si>
  <si>
    <t>Mg</t>
  </si>
  <si>
    <t>Magnesium (dissolved)</t>
  </si>
  <si>
    <t>Mg-DIS</t>
  </si>
  <si>
    <t>Manganese</t>
  </si>
  <si>
    <t>Manganese (dissolved)</t>
  </si>
  <si>
    <t>Mn-DIS</t>
  </si>
  <si>
    <t>Molybdenum</t>
  </si>
  <si>
    <t>Mo</t>
  </si>
  <si>
    <t>Sodium</t>
  </si>
  <si>
    <t>Sodium (dissolved)</t>
  </si>
  <si>
    <t>Na-DIS</t>
  </si>
  <si>
    <t>Ammonia Nitrogen</t>
  </si>
  <si>
    <t>4500NH3H</t>
  </si>
  <si>
    <t>NH3-N</t>
  </si>
  <si>
    <t>Nickel</t>
  </si>
  <si>
    <t>Ni</t>
  </si>
  <si>
    <t>Nickel (dissolved)</t>
  </si>
  <si>
    <t>Ni-DIS</t>
  </si>
  <si>
    <t>Nitrite Nitrogen</t>
  </si>
  <si>
    <t>4500NO3F</t>
  </si>
  <si>
    <t>NO2-N</t>
  </si>
  <si>
    <t>Nitrate</t>
  </si>
  <si>
    <t>NO3</t>
  </si>
  <si>
    <t>Nitrate Nitrogen</t>
  </si>
  <si>
    <t>NO3-N</t>
  </si>
  <si>
    <t>Nitrate + Nitrite Nitrogen</t>
  </si>
  <si>
    <t>NO3NO2-N</t>
  </si>
  <si>
    <t>Threshold Odor Number (Median)</t>
  </si>
  <si>
    <t>2150B</t>
  </si>
  <si>
    <t>ODOR</t>
  </si>
  <si>
    <t>Odor Range High</t>
  </si>
  <si>
    <t>ODORHI</t>
  </si>
  <si>
    <t>Odor Range Low</t>
  </si>
  <si>
    <t>ODORLO</t>
  </si>
  <si>
    <t>Hydroxide (as OH)</t>
  </si>
  <si>
    <t>OH</t>
  </si>
  <si>
    <t>Hydroxide (as CaCO3)</t>
  </si>
  <si>
    <t>OHCa</t>
  </si>
  <si>
    <t>Organic Nitrogen</t>
  </si>
  <si>
    <t>ORG-N</t>
  </si>
  <si>
    <t>Lead</t>
  </si>
  <si>
    <t>Pb</t>
  </si>
  <si>
    <t>Lead (dissolved)</t>
  </si>
  <si>
    <t>Pb-DIS</t>
  </si>
  <si>
    <t>4500H+B</t>
  </si>
  <si>
    <t>Phosphate Phosphorus (orthophosphate)</t>
  </si>
  <si>
    <t>PO4-P</t>
  </si>
  <si>
    <t>Sulfide</t>
  </si>
  <si>
    <t>S2</t>
  </si>
  <si>
    <t>Sodium Adsorption Ratio</t>
  </si>
  <si>
    <t>SAR</t>
  </si>
  <si>
    <t>Adjusted Sodium Adsorption Ratio</t>
  </si>
  <si>
    <t>SARADJ</t>
  </si>
  <si>
    <t>Antimony</t>
  </si>
  <si>
    <t>Sb</t>
  </si>
  <si>
    <t>Antimony (dissolved)</t>
  </si>
  <si>
    <t>Sb-DIS</t>
  </si>
  <si>
    <t>Selenium</t>
  </si>
  <si>
    <t>Se</t>
  </si>
  <si>
    <t>Selenium (dissolved)</t>
  </si>
  <si>
    <t>Se-DIS</t>
  </si>
  <si>
    <t>Settleable Solids</t>
  </si>
  <si>
    <t>2540F</t>
  </si>
  <si>
    <t>SETSOL</t>
  </si>
  <si>
    <t>Silica</t>
  </si>
  <si>
    <t>4500SIOC</t>
  </si>
  <si>
    <t>SIO2</t>
  </si>
  <si>
    <t>Sulfate</t>
  </si>
  <si>
    <t>SO4</t>
  </si>
  <si>
    <t>Strontium</t>
  </si>
  <si>
    <t>X200.8U</t>
  </si>
  <si>
    <t>Sr</t>
  </si>
  <si>
    <t>2540D</t>
  </si>
  <si>
    <t>SUSSOL</t>
  </si>
  <si>
    <t>Total Coliform (Membrane Filtration-CFU/100ml)</t>
  </si>
  <si>
    <t>9222D</t>
  </si>
  <si>
    <t>TCOLIF</t>
  </si>
  <si>
    <t>Total Coliform (Mult. Tube Fermentation)</t>
  </si>
  <si>
    <t>9221B</t>
  </si>
  <si>
    <t>TCOLIM</t>
  </si>
  <si>
    <t>Total Coliform (Colilert - MPN/100mL)</t>
  </si>
  <si>
    <t>TCOLIQ</t>
  </si>
  <si>
    <t>Total Dissolved Solids</t>
  </si>
  <si>
    <t>2540C</t>
  </si>
  <si>
    <t>Temperature (LAB)</t>
  </si>
  <si>
    <t>TEMP</t>
  </si>
  <si>
    <t>Total Inorganic Nitrogen</t>
  </si>
  <si>
    <t>TIN</t>
  </si>
  <si>
    <t>Total Kjeldahl Nitrogen</t>
  </si>
  <si>
    <t>TKN</t>
  </si>
  <si>
    <t>Thallium</t>
  </si>
  <si>
    <t>Tl</t>
  </si>
  <si>
    <t>Thallium (dissolved)</t>
  </si>
  <si>
    <t>Tl-DIS</t>
  </si>
  <si>
    <t>Total Organic Carbon (Unfiltered)</t>
  </si>
  <si>
    <t>Total Organic Carbon (Filtered)</t>
  </si>
  <si>
    <t>TOC-F</t>
  </si>
  <si>
    <t>Total Alkalinity (as CaCO3)</t>
  </si>
  <si>
    <t>TOTALK</t>
  </si>
  <si>
    <t>Total Anions</t>
  </si>
  <si>
    <t>1030F</t>
  </si>
  <si>
    <t>TOTANI</t>
  </si>
  <si>
    <t>Total Cations</t>
  </si>
  <si>
    <t>TOTCAT</t>
  </si>
  <si>
    <t>Total Chlorine</t>
  </si>
  <si>
    <t>TOTCL2</t>
  </si>
  <si>
    <t>Tot. Res. Chlorine -- Amperometric Method</t>
  </si>
  <si>
    <t>TOTCLA</t>
  </si>
  <si>
    <t>Total Hardness (as CaCO3)</t>
  </si>
  <si>
    <t>TOTHRD</t>
  </si>
  <si>
    <t>Total Hardness (as CaCO3) (dissolved)</t>
  </si>
  <si>
    <t>TOTHRD-D</t>
  </si>
  <si>
    <t>Total Nitrogen</t>
  </si>
  <si>
    <t>TOT-N</t>
  </si>
  <si>
    <t>True Color (filtered)</t>
  </si>
  <si>
    <t>TRCOLR</t>
  </si>
  <si>
    <t>2130B</t>
  </si>
  <si>
    <t>TURB</t>
  </si>
  <si>
    <t>Uranium</t>
  </si>
  <si>
    <t>U</t>
  </si>
  <si>
    <t>Ultraviolet percent transmittance @228nm</t>
  </si>
  <si>
    <t>5910B</t>
  </si>
  <si>
    <t>UV%T-228</t>
  </si>
  <si>
    <t>Ultraviolet percent transmittance @254nm</t>
  </si>
  <si>
    <t>UV%T-254</t>
  </si>
  <si>
    <t>UV Absorbance/TOC (unfiltered) ratio</t>
  </si>
  <si>
    <t>UV/TOC</t>
  </si>
  <si>
    <t>Ultraviolet (absorbance)</t>
  </si>
  <si>
    <t>UVAB</t>
  </si>
  <si>
    <t>Vanadium</t>
  </si>
  <si>
    <t>V</t>
  </si>
  <si>
    <t>Vanadium (dissolved)</t>
  </si>
  <si>
    <t>V-DIS</t>
  </si>
  <si>
    <t>Zinc</t>
  </si>
  <si>
    <t>Zn</t>
  </si>
  <si>
    <t>Zinc (dissolved)</t>
  </si>
  <si>
    <t>Zn-DIS</t>
  </si>
  <si>
    <t>?</t>
  </si>
  <si>
    <t>mide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</si>
</sst>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0"/>
      <name val="P-TIMES"/>
    </font>
    <font>
      <b/>
      <sz val="19"/>
      <name val="P-TIMES"/>
    </font>
    <font>
      <b/>
      <sz val="10"/>
      <name val="P-TIMES"/>
    </font>
    <font>
      <sz val="8"/>
      <name val="P-TIMES"/>
    </font>
    <font>
      <sz val="10"/>
      <name val="P-TIMES"/>
    </font>
    <font>
      <sz val="10"/>
      <color indexed="9"/>
      <name val="P-TIMES"/>
    </font>
    <font>
      <sz val="10"/>
      <name val="Bookman Old Style"/>
      <family val="1"/>
    </font>
    <font>
      <sz val="10"/>
      <color indexed="9"/>
      <name val="Bookman Old Style"/>
      <family val="1"/>
    </font>
    <font>
      <b/>
      <sz val="10"/>
      <name val="Bookman Old Style"/>
      <family val="1"/>
    </font>
    <font>
      <b/>
      <sz val="12"/>
      <name val="Bookman Old Style"/>
      <family val="1"/>
    </font>
    <font>
      <b/>
      <vertAlign val="subscript"/>
      <sz val="12"/>
      <name val="Bookman Old Style"/>
      <family val="1"/>
    </font>
    <font>
      <sz val="10"/>
      <name val="Arial"/>
      <family val="2"/>
    </font>
    <font>
      <b/>
      <sz val="9"/>
      <name val="Bookman Old Style"/>
      <family val="1"/>
    </font>
    <font>
      <sz val="10"/>
      <color indexed="8"/>
      <name val="Bookman Old Style"/>
      <family val="1"/>
    </font>
    <font>
      <b/>
      <sz val="10"/>
      <color indexed="8"/>
      <name val="Bookman Old Style"/>
      <family val="1"/>
    </font>
    <font>
      <b/>
      <sz val="10"/>
      <color indexed="9"/>
      <name val="Bookman Old Style"/>
      <family val="1"/>
    </font>
    <font>
      <b/>
      <sz val="14"/>
      <name val="Bookman Old Style"/>
      <family val="1"/>
    </font>
    <font>
      <b/>
      <vertAlign val="superscript"/>
      <sz val="12"/>
      <name val="Bookman Old Style"/>
      <family val="1"/>
    </font>
    <font>
      <b/>
      <vertAlign val="superscript"/>
      <sz val="10"/>
      <name val="Bookman Old Style"/>
      <family val="1"/>
    </font>
    <font>
      <b/>
      <sz val="15"/>
      <color indexed="8"/>
      <name val="Bookman Old Style"/>
      <family val="1"/>
    </font>
    <font>
      <sz val="8"/>
      <color indexed="8"/>
      <name val="Bookman Old Style"/>
      <family val="1"/>
    </font>
    <font>
      <sz val="10"/>
      <color indexed="8"/>
      <name val="P-TIMES"/>
    </font>
    <font>
      <sz val="9"/>
      <color indexed="81"/>
      <name val="Tahoma"/>
      <family val="2"/>
    </font>
    <font>
      <b/>
      <sz val="9"/>
      <color indexed="81"/>
      <name val="Tahoma"/>
      <family val="2"/>
    </font>
    <font>
      <sz val="10"/>
      <color rgb="FFFF0000"/>
      <name val="P-TIMES"/>
    </font>
    <font>
      <sz val="10"/>
      <color theme="0"/>
      <name val="Bookman Old Style"/>
      <family val="1"/>
    </font>
    <font>
      <b/>
      <sz val="12"/>
      <color theme="1"/>
      <name val="Bookman Old Style"/>
      <family val="1"/>
    </font>
    <font>
      <b/>
      <sz val="10"/>
      <color theme="0"/>
      <name val="Bookman Old Style"/>
      <family val="1"/>
    </font>
    <font>
      <b/>
      <sz val="12"/>
      <color theme="0"/>
      <name val="Bookman Old Style"/>
      <family val="1"/>
    </font>
    <font>
      <sz val="10"/>
      <color theme="0"/>
      <name val="P-TIMES"/>
    </font>
    <font>
      <b/>
      <vertAlign val="superscript"/>
      <sz val="10"/>
      <color theme="0"/>
      <name val="Bookman Old Style"/>
      <family val="1"/>
    </font>
    <font>
      <sz val="12"/>
      <color theme="1"/>
      <name val="Calibri"/>
      <family val="2"/>
      <scheme val="minor"/>
    </font>
    <font>
      <b/>
      <sz val="14"/>
      <color theme="1"/>
      <name val="Calibri"/>
      <family val="2"/>
      <scheme val="minor"/>
    </font>
    <font>
      <sz val="10"/>
      <color indexed="8"/>
      <name val="Arial"/>
      <family val="2"/>
    </font>
    <font>
      <b/>
      <sz val="11"/>
      <color indexed="8"/>
      <name val="Calibri"/>
      <family val="2"/>
    </font>
    <font>
      <sz val="11"/>
      <color indexed="8"/>
      <name val="Calibri"/>
      <family val="2"/>
    </font>
    <font>
      <sz val="10"/>
      <color indexed="8"/>
      <name val="Calibri"/>
      <family val="2"/>
    </font>
    <font>
      <b/>
      <sz val="12"/>
      <color theme="1"/>
      <name val="Calibri"/>
      <family val="2"/>
      <scheme val="minor"/>
    </font>
  </fonts>
  <fills count="14">
    <fill>
      <patternFill patternType="none"/>
    </fill>
    <fill>
      <patternFill patternType="gray125"/>
    </fill>
    <fill>
      <patternFill patternType="gray125">
        <fgColor indexed="8"/>
      </patternFill>
    </fill>
    <fill>
      <patternFill patternType="gray125">
        <fgColor indexed="8"/>
        <bgColor indexed="9"/>
      </patternFill>
    </fill>
    <fill>
      <patternFill patternType="solid">
        <fgColor indexed="8"/>
        <bgColor indexed="64"/>
      </patternFill>
    </fill>
    <fill>
      <patternFill patternType="gray125">
        <fgColor indexed="9"/>
        <bgColor indexed="9"/>
      </patternFill>
    </fill>
    <fill>
      <patternFill patternType="solid">
        <fgColor indexed="9"/>
        <bgColor indexed="64"/>
      </patternFill>
    </fill>
    <fill>
      <patternFill patternType="gray125">
        <bgColor theme="0"/>
      </patternFill>
    </fill>
    <fill>
      <patternFill patternType="solid">
        <fgColor theme="1"/>
        <bgColor indexed="64"/>
      </patternFill>
    </fill>
    <fill>
      <patternFill patternType="gray125">
        <fgColor indexed="8"/>
        <bgColor theme="1"/>
      </patternFill>
    </fill>
    <fill>
      <patternFill patternType="solid">
        <fgColor theme="8" tint="0.39997558519241921"/>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2" tint="-9.9978637043366805E-2"/>
        <bgColor indexed="64"/>
      </patternFill>
    </fill>
  </fills>
  <borders count="32">
    <border>
      <left/>
      <right/>
      <top/>
      <bottom/>
      <diagonal/>
    </border>
    <border>
      <left style="thin">
        <color indexed="8"/>
      </left>
      <right style="thin">
        <color indexed="8"/>
      </right>
      <top/>
      <bottom/>
      <diagonal/>
    </border>
    <border>
      <left style="thin">
        <color indexed="8"/>
      </left>
      <right/>
      <top/>
      <bottom/>
      <diagonal/>
    </border>
    <border>
      <left/>
      <right style="thin">
        <color indexed="8"/>
      </right>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theme="1"/>
      </left>
      <right style="thin">
        <color theme="1"/>
      </right>
      <top/>
      <bottom/>
      <diagonal/>
    </border>
    <border>
      <left style="thin">
        <color theme="1"/>
      </left>
      <right style="thin">
        <color indexed="8"/>
      </right>
      <top/>
      <bottom/>
      <diagonal/>
    </border>
    <border>
      <left/>
      <right style="thin">
        <color theme="1"/>
      </right>
      <top/>
      <bottom/>
      <diagonal/>
    </border>
    <border>
      <left style="thin">
        <color theme="1"/>
      </left>
      <right style="thin">
        <color theme="1"/>
      </right>
      <top style="medium">
        <color indexed="64"/>
      </top>
      <bottom/>
      <diagonal/>
    </border>
    <border>
      <left style="thin">
        <color indexed="8"/>
      </left>
      <right style="thin">
        <color indexed="8"/>
      </right>
      <top style="medium">
        <color auto="1"/>
      </top>
      <bottom/>
      <diagonal/>
    </border>
    <border>
      <left style="thin">
        <color indexed="8"/>
      </left>
      <right/>
      <top style="medium">
        <color auto="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medium">
        <color auto="1"/>
      </right>
      <top style="medium">
        <color indexed="64"/>
      </top>
      <bottom style="thin">
        <color auto="1"/>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medium">
        <color auto="1"/>
      </right>
      <top style="thin">
        <color indexed="64"/>
      </top>
      <bottom style="thin">
        <color auto="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thin">
        <color auto="1"/>
      </left>
      <right style="medium">
        <color auto="1"/>
      </right>
      <top style="thin">
        <color auto="1"/>
      </top>
      <bottom style="medium">
        <color auto="1"/>
      </bottom>
      <diagonal/>
    </border>
    <border>
      <left style="thin">
        <color indexed="64"/>
      </left>
      <right style="thin">
        <color indexed="64"/>
      </right>
      <top style="thin">
        <color indexed="64"/>
      </top>
      <bottom style="medium">
        <color indexed="64"/>
      </bottom>
      <diagonal/>
    </border>
  </borders>
  <cellStyleXfs count="3">
    <xf numFmtId="0" fontId="0" fillId="0" borderId="0"/>
    <xf numFmtId="0" fontId="31" fillId="0" borderId="0"/>
    <xf numFmtId="0" fontId="33" fillId="0" borderId="0"/>
  </cellStyleXfs>
  <cellXfs count="131">
    <xf numFmtId="0" fontId="0" fillId="0" borderId="0" xfId="0"/>
    <xf numFmtId="0" fontId="1" fillId="0" borderId="0" xfId="0" applyFont="1"/>
    <xf numFmtId="0" fontId="2" fillId="0" borderId="0" xfId="0" applyFont="1" applyAlignment="1">
      <alignment horizontal="centerContinuous"/>
    </xf>
    <xf numFmtId="0" fontId="2" fillId="0" borderId="0" xfId="0" applyFont="1"/>
    <xf numFmtId="0" fontId="3" fillId="0" borderId="0" xfId="0" applyFont="1"/>
    <xf numFmtId="0" fontId="4" fillId="0" borderId="0" xfId="0" applyFont="1" applyAlignment="1">
      <alignment horizontal="centerContinuous"/>
    </xf>
    <xf numFmtId="0" fontId="4" fillId="0" borderId="0" xfId="0" applyFont="1"/>
    <xf numFmtId="0" fontId="4" fillId="0" borderId="0" xfId="0" applyFont="1" applyAlignment="1">
      <alignment horizontal="left"/>
    </xf>
    <xf numFmtId="0" fontId="6" fillId="0" borderId="0" xfId="0" applyFont="1"/>
    <xf numFmtId="0" fontId="6" fillId="0" borderId="0" xfId="0" applyFont="1" applyAlignment="1">
      <alignment horizontal="center"/>
    </xf>
    <xf numFmtId="0" fontId="6" fillId="0" borderId="1" xfId="0" applyFont="1" applyBorder="1" applyAlignment="1">
      <alignment horizontal="center"/>
    </xf>
    <xf numFmtId="0" fontId="8" fillId="0" borderId="1" xfId="0" applyFont="1" applyBorder="1" applyAlignment="1">
      <alignment horizontal="center"/>
    </xf>
    <xf numFmtId="0" fontId="6" fillId="0" borderId="2" xfId="0" applyFont="1" applyBorder="1" applyAlignment="1">
      <alignment horizontal="center"/>
    </xf>
    <xf numFmtId="0" fontId="6" fillId="0" borderId="0" xfId="0" applyFont="1" applyAlignment="1">
      <alignment horizontal="left"/>
    </xf>
    <xf numFmtId="0" fontId="8" fillId="0" borderId="0" xfId="0" applyFont="1" applyAlignment="1">
      <alignment horizontal="left"/>
    </xf>
    <xf numFmtId="0" fontId="6" fillId="2" borderId="1" xfId="0" applyFont="1" applyFill="1" applyBorder="1" applyAlignment="1">
      <alignment horizontal="center"/>
    </xf>
    <xf numFmtId="0" fontId="8" fillId="2" borderId="1" xfId="0" applyFont="1" applyFill="1" applyBorder="1" applyAlignment="1">
      <alignment horizontal="center"/>
    </xf>
    <xf numFmtId="0" fontId="6" fillId="2" borderId="2" xfId="0" applyFont="1" applyFill="1" applyBorder="1" applyAlignment="1">
      <alignment horizontal="center"/>
    </xf>
    <xf numFmtId="0" fontId="14" fillId="0" borderId="0" xfId="0" applyFont="1" applyAlignment="1">
      <alignment horizontal="left"/>
    </xf>
    <xf numFmtId="0" fontId="13" fillId="0" borderId="0" xfId="0" applyFont="1" applyAlignment="1">
      <alignment horizontal="left"/>
    </xf>
    <xf numFmtId="0" fontId="6" fillId="0" borderId="3" xfId="0" applyFont="1" applyBorder="1" applyAlignment="1">
      <alignment horizontal="center"/>
    </xf>
    <xf numFmtId="0" fontId="6" fillId="2" borderId="3" xfId="0" applyFont="1" applyFill="1" applyBorder="1" applyAlignment="1">
      <alignment horizontal="center"/>
    </xf>
    <xf numFmtId="0" fontId="9" fillId="0" borderId="0" xfId="0" applyFont="1" applyAlignment="1">
      <alignment horizontal="right"/>
    </xf>
    <xf numFmtId="0" fontId="7" fillId="0" borderId="0" xfId="0" applyFont="1" applyAlignment="1">
      <alignment horizontal="center"/>
    </xf>
    <xf numFmtId="0" fontId="8" fillId="0" borderId="0" xfId="0" applyFont="1" applyAlignment="1">
      <alignment horizontal="center"/>
    </xf>
    <xf numFmtId="0" fontId="12" fillId="0" borderId="0" xfId="0" applyFont="1"/>
    <xf numFmtId="0" fontId="12" fillId="0" borderId="0" xfId="0" applyFont="1" applyAlignment="1">
      <alignment horizontal="center"/>
    </xf>
    <xf numFmtId="0" fontId="6" fillId="0" borderId="0" xfId="0" applyFont="1" applyAlignment="1">
      <alignment horizontal="centerContinuous"/>
    </xf>
    <xf numFmtId="0" fontId="8" fillId="0" borderId="5" xfId="0" applyFont="1" applyBorder="1" applyAlignment="1">
      <alignment horizontal="center"/>
    </xf>
    <xf numFmtId="0" fontId="14" fillId="0" borderId="0" xfId="0" applyFont="1"/>
    <xf numFmtId="0" fontId="13" fillId="0" borderId="0" xfId="0" applyFont="1"/>
    <xf numFmtId="0" fontId="14" fillId="0" borderId="5" xfId="0" applyFont="1" applyBorder="1" applyAlignment="1">
      <alignment horizontal="center"/>
    </xf>
    <xf numFmtId="0" fontId="8" fillId="0" borderId="2" xfId="0" applyFont="1" applyBorder="1" applyAlignment="1">
      <alignment horizontal="center"/>
    </xf>
    <xf numFmtId="0" fontId="16" fillId="0" borderId="0" xfId="0" applyFont="1" applyAlignment="1">
      <alignment horizontal="left"/>
    </xf>
    <xf numFmtId="0" fontId="6" fillId="0" borderId="1" xfId="0" applyFont="1" applyBorder="1"/>
    <xf numFmtId="0" fontId="6" fillId="0" borderId="6" xfId="0" applyFont="1" applyBorder="1"/>
    <xf numFmtId="0" fontId="18" fillId="0" borderId="0" xfId="0" applyFont="1" applyAlignment="1">
      <alignment horizontal="left"/>
    </xf>
    <xf numFmtId="0" fontId="20" fillId="0" borderId="0" xfId="0" applyFont="1" applyAlignment="1">
      <alignment horizontal="left"/>
    </xf>
    <xf numFmtId="0" fontId="15" fillId="0" borderId="0" xfId="0" applyFont="1" applyAlignment="1">
      <alignment horizontal="left"/>
    </xf>
    <xf numFmtId="0" fontId="21" fillId="0" borderId="0" xfId="0" applyFont="1"/>
    <xf numFmtId="0" fontId="24" fillId="0" borderId="0" xfId="0" applyFont="1"/>
    <xf numFmtId="0" fontId="24" fillId="5" borderId="0" xfId="0" applyFont="1" applyFill="1"/>
    <xf numFmtId="0" fontId="8" fillId="3" borderId="1" xfId="0" applyFont="1" applyFill="1" applyBorder="1" applyAlignment="1">
      <alignment horizontal="center"/>
    </xf>
    <xf numFmtId="0" fontId="6" fillId="7" borderId="0" xfId="0" applyFont="1" applyFill="1" applyAlignment="1">
      <alignment horizontal="center"/>
    </xf>
    <xf numFmtId="0" fontId="8" fillId="2" borderId="2" xfId="0" applyFont="1" applyFill="1" applyBorder="1" applyAlignment="1">
      <alignment horizontal="center"/>
    </xf>
    <xf numFmtId="0" fontId="6" fillId="3" borderId="3" xfId="0" applyFont="1" applyFill="1" applyBorder="1" applyAlignment="1">
      <alignment horizontal="center"/>
    </xf>
    <xf numFmtId="0" fontId="6" fillId="0" borderId="7" xfId="0" applyFont="1" applyBorder="1" applyAlignment="1">
      <alignment horizontal="center"/>
    </xf>
    <xf numFmtId="0" fontId="6" fillId="7" borderId="7" xfId="0" applyFont="1" applyFill="1" applyBorder="1" applyAlignment="1">
      <alignment horizontal="center"/>
    </xf>
    <xf numFmtId="0" fontId="8" fillId="2" borderId="3" xfId="0" applyFont="1" applyFill="1" applyBorder="1" applyAlignment="1">
      <alignment horizontal="center"/>
    </xf>
    <xf numFmtId="0" fontId="6" fillId="7" borderId="1" xfId="0" applyFont="1" applyFill="1" applyBorder="1" applyAlignment="1">
      <alignment horizontal="center"/>
    </xf>
    <xf numFmtId="0" fontId="6" fillId="2" borderId="8" xfId="0" applyFont="1" applyFill="1" applyBorder="1" applyAlignment="1">
      <alignment horizontal="center"/>
    </xf>
    <xf numFmtId="0" fontId="6" fillId="0" borderId="3" xfId="0" applyFont="1" applyBorder="1"/>
    <xf numFmtId="0" fontId="13" fillId="0" borderId="1" xfId="0" applyFont="1" applyBorder="1" applyAlignment="1">
      <alignment horizontal="center"/>
    </xf>
    <xf numFmtId="0" fontId="8" fillId="0" borderId="1" xfId="0" applyFont="1" applyBorder="1" applyAlignment="1">
      <alignment horizontal="left"/>
    </xf>
    <xf numFmtId="0" fontId="25" fillId="0" borderId="0" xfId="0" applyFont="1" applyAlignment="1">
      <alignment horizontal="center"/>
    </xf>
    <xf numFmtId="0" fontId="25" fillId="0" borderId="1" xfId="0" applyFont="1" applyBorder="1" applyAlignment="1">
      <alignment horizontal="center"/>
    </xf>
    <xf numFmtId="0" fontId="25" fillId="0" borderId="2" xfId="0" applyFont="1" applyBorder="1" applyAlignment="1">
      <alignment horizontal="center"/>
    </xf>
    <xf numFmtId="0" fontId="25" fillId="0" borderId="3" xfId="0" applyFont="1" applyBorder="1" applyAlignment="1">
      <alignment horizontal="center"/>
    </xf>
    <xf numFmtId="0" fontId="6" fillId="0" borderId="8" xfId="0" applyFont="1" applyBorder="1" applyAlignment="1">
      <alignment horizontal="center"/>
    </xf>
    <xf numFmtId="0" fontId="9" fillId="2" borderId="0" xfId="0" applyFont="1" applyFill="1" applyAlignment="1">
      <alignment horizontal="right"/>
    </xf>
    <xf numFmtId="0" fontId="26" fillId="0" borderId="0" xfId="0" applyFont="1" applyAlignment="1">
      <alignment horizontal="right"/>
    </xf>
    <xf numFmtId="0" fontId="8" fillId="0" borderId="3" xfId="0" applyFont="1" applyBorder="1" applyAlignment="1">
      <alignment horizontal="center"/>
    </xf>
    <xf numFmtId="0" fontId="6" fillId="0" borderId="9" xfId="0" applyFont="1" applyBorder="1" applyAlignment="1">
      <alignment horizontal="center"/>
    </xf>
    <xf numFmtId="0" fontId="6" fillId="0" borderId="3" xfId="0" applyFont="1" applyBorder="1" applyAlignment="1">
      <alignment horizontal="left"/>
    </xf>
    <xf numFmtId="0" fontId="6" fillId="0" borderId="10" xfId="0" applyFont="1" applyBorder="1" applyAlignment="1">
      <alignment horizontal="center"/>
    </xf>
    <xf numFmtId="0" fontId="25" fillId="8" borderId="7" xfId="0" applyFont="1" applyFill="1" applyBorder="1" applyAlignment="1">
      <alignment horizontal="center"/>
    </xf>
    <xf numFmtId="0" fontId="25" fillId="9" borderId="7" xfId="0" applyFont="1" applyFill="1" applyBorder="1" applyAlignment="1">
      <alignment horizontal="center"/>
    </xf>
    <xf numFmtId="0" fontId="6" fillId="2" borderId="7" xfId="0" applyFont="1" applyFill="1" applyBorder="1" applyAlignment="1">
      <alignment horizontal="center"/>
    </xf>
    <xf numFmtId="0" fontId="8" fillId="0" borderId="7" xfId="0" applyFont="1" applyBorder="1" applyAlignment="1">
      <alignment horizontal="center"/>
    </xf>
    <xf numFmtId="0" fontId="25" fillId="0" borderId="7" xfId="0" applyFont="1" applyBorder="1" applyAlignment="1">
      <alignment horizontal="center"/>
    </xf>
    <xf numFmtId="0" fontId="6" fillId="0" borderId="7" xfId="0" applyFont="1" applyBorder="1"/>
    <xf numFmtId="0" fontId="14" fillId="0" borderId="4" xfId="0" applyFont="1" applyBorder="1" applyAlignment="1">
      <alignment horizontal="center"/>
    </xf>
    <xf numFmtId="0" fontId="6" fillId="0" borderId="12" xfId="0" applyFont="1" applyBorder="1" applyAlignment="1">
      <alignment horizontal="center"/>
    </xf>
    <xf numFmtId="0" fontId="6" fillId="0" borderId="11" xfId="0" applyFont="1" applyBorder="1" applyAlignment="1">
      <alignment horizontal="center"/>
    </xf>
    <xf numFmtId="0" fontId="8" fillId="0" borderId="11" xfId="0" applyFont="1" applyBorder="1" applyAlignment="1">
      <alignment horizontal="center"/>
    </xf>
    <xf numFmtId="0" fontId="11" fillId="0" borderId="0" xfId="0" applyFont="1"/>
    <xf numFmtId="0" fontId="8" fillId="0" borderId="0" xfId="0" applyFont="1"/>
    <xf numFmtId="0" fontId="5" fillId="4" borderId="0" xfId="0" applyFont="1" applyFill="1"/>
    <xf numFmtId="0" fontId="5" fillId="0" borderId="0" xfId="0" applyFont="1"/>
    <xf numFmtId="0" fontId="15" fillId="0" borderId="0" xfId="0" applyFont="1" applyAlignment="1">
      <alignment horizontal="center"/>
    </xf>
    <xf numFmtId="0" fontId="27" fillId="8" borderId="0" xfId="0" applyFont="1" applyFill="1" applyAlignment="1">
      <alignment horizontal="left"/>
    </xf>
    <xf numFmtId="0" fontId="25" fillId="8" borderId="0" xfId="0" applyFont="1" applyFill="1" applyAlignment="1">
      <alignment horizontal="left"/>
    </xf>
    <xf numFmtId="0" fontId="28" fillId="9" borderId="0" xfId="0" applyFont="1" applyFill="1" applyAlignment="1">
      <alignment horizontal="right"/>
    </xf>
    <xf numFmtId="0" fontId="27" fillId="9" borderId="1" xfId="0" applyFont="1" applyFill="1" applyBorder="1" applyAlignment="1">
      <alignment horizontal="center"/>
    </xf>
    <xf numFmtId="0" fontId="5" fillId="8" borderId="0" xfId="0" applyFont="1" applyFill="1"/>
    <xf numFmtId="0" fontId="29" fillId="8" borderId="0" xfId="0" applyFont="1" applyFill="1"/>
    <xf numFmtId="0" fontId="0" fillId="8" borderId="0" xfId="0" applyFill="1"/>
    <xf numFmtId="0" fontId="27" fillId="8" borderId="1" xfId="0" applyFont="1" applyFill="1" applyBorder="1" applyAlignment="1">
      <alignment horizontal="center"/>
    </xf>
    <xf numFmtId="0" fontId="14" fillId="8" borderId="0" xfId="0" applyFont="1" applyFill="1" applyAlignment="1">
      <alignment horizontal="left"/>
    </xf>
    <xf numFmtId="0" fontId="30" fillId="8" borderId="0" xfId="0" applyFont="1" applyFill="1" applyAlignment="1">
      <alignment horizontal="left"/>
    </xf>
    <xf numFmtId="0" fontId="7" fillId="0" borderId="0" xfId="0" applyFont="1" applyAlignment="1">
      <alignment horizontal="center"/>
    </xf>
    <xf numFmtId="0" fontId="19" fillId="6" borderId="0" xfId="0" applyFont="1" applyFill="1" applyAlignment="1">
      <alignment horizontal="center"/>
    </xf>
    <xf numFmtId="0" fontId="32" fillId="10" borderId="13" xfId="1" applyFont="1" applyFill="1" applyBorder="1" applyAlignment="1">
      <alignment horizontal="center" vertical="center"/>
    </xf>
    <xf numFmtId="0" fontId="32" fillId="10" borderId="14" xfId="1" applyFont="1" applyFill="1" applyBorder="1" applyAlignment="1">
      <alignment horizontal="center" vertical="center"/>
    </xf>
    <xf numFmtId="0" fontId="32" fillId="10" borderId="15" xfId="1" applyFont="1" applyFill="1" applyBorder="1" applyAlignment="1">
      <alignment horizontal="center" vertical="center"/>
    </xf>
    <xf numFmtId="0" fontId="32" fillId="10" borderId="16" xfId="1" applyFont="1" applyFill="1" applyBorder="1" applyAlignment="1">
      <alignment horizontal="center" vertical="center"/>
    </xf>
    <xf numFmtId="0" fontId="34" fillId="11" borderId="17" xfId="2" applyFont="1" applyFill="1" applyBorder="1" applyAlignment="1">
      <alignment horizontal="center" vertical="center" wrapText="1"/>
    </xf>
    <xf numFmtId="0" fontId="34" fillId="11" borderId="16" xfId="2" applyFont="1" applyFill="1" applyBorder="1" applyAlignment="1">
      <alignment horizontal="left" vertical="center" wrapText="1"/>
    </xf>
    <xf numFmtId="0" fontId="34" fillId="11" borderId="18" xfId="2" applyFont="1" applyFill="1" applyBorder="1" applyAlignment="1">
      <alignment horizontal="center" wrapText="1"/>
    </xf>
    <xf numFmtId="0" fontId="34" fillId="11" borderId="19" xfId="2" applyFont="1" applyFill="1" applyBorder="1" applyAlignment="1">
      <alignment horizontal="center" vertical="top" wrapText="1"/>
    </xf>
    <xf numFmtId="0" fontId="35" fillId="0" borderId="24" xfId="2" applyFont="1" applyBorder="1" applyAlignment="1">
      <alignment wrapText="1"/>
    </xf>
    <xf numFmtId="0" fontId="35" fillId="0" borderId="25" xfId="2" applyFont="1" applyBorder="1" applyAlignment="1">
      <alignment horizontal="left" wrapText="1"/>
    </xf>
    <xf numFmtId="0" fontId="35" fillId="0" borderId="26" xfId="2" applyFont="1" applyBorder="1" applyAlignment="1">
      <alignment wrapText="1"/>
    </xf>
    <xf numFmtId="0" fontId="34" fillId="0" borderId="27" xfId="2" applyFont="1" applyBorder="1" applyAlignment="1">
      <alignment wrapText="1"/>
    </xf>
    <xf numFmtId="0" fontId="35" fillId="12" borderId="24" xfId="2" applyFont="1" applyFill="1" applyBorder="1" applyAlignment="1">
      <alignment wrapText="1"/>
    </xf>
    <xf numFmtId="0" fontId="35" fillId="12" borderId="25" xfId="2" applyFont="1" applyFill="1" applyBorder="1" applyAlignment="1">
      <alignment horizontal="left" wrapText="1"/>
    </xf>
    <xf numFmtId="0" fontId="35" fillId="12" borderId="26" xfId="2" applyFont="1" applyFill="1" applyBorder="1" applyAlignment="1">
      <alignment wrapText="1"/>
    </xf>
    <xf numFmtId="0" fontId="34" fillId="12" borderId="27" xfId="2" applyFont="1" applyFill="1" applyBorder="1" applyAlignment="1">
      <alignment wrapText="1"/>
    </xf>
    <xf numFmtId="0" fontId="36" fillId="12" borderId="24" xfId="2" applyFont="1" applyFill="1" applyBorder="1" applyAlignment="1">
      <alignment horizontal="left" wrapText="1"/>
    </xf>
    <xf numFmtId="0" fontId="36" fillId="12" borderId="25" xfId="2" applyFont="1" applyFill="1" applyBorder="1" applyAlignment="1">
      <alignment horizontal="left" wrapText="1"/>
    </xf>
    <xf numFmtId="0" fontId="35" fillId="0" borderId="28" xfId="2" applyFont="1" applyBorder="1" applyAlignment="1">
      <alignment wrapText="1"/>
    </xf>
    <xf numFmtId="0" fontId="35" fillId="0" borderId="29" xfId="2" applyFont="1" applyBorder="1" applyAlignment="1">
      <alignment horizontal="left" wrapText="1"/>
    </xf>
    <xf numFmtId="0" fontId="35" fillId="0" borderId="30" xfId="2" applyFont="1" applyBorder="1" applyAlignment="1">
      <alignment wrapText="1"/>
    </xf>
    <xf numFmtId="0" fontId="34" fillId="0" borderId="31" xfId="2" applyFont="1" applyBorder="1" applyAlignment="1">
      <alignment wrapText="1"/>
    </xf>
    <xf numFmtId="0" fontId="6" fillId="0" borderId="6" xfId="0" applyFont="1" applyBorder="1" applyAlignment="1">
      <alignment wrapText="1"/>
    </xf>
    <xf numFmtId="0" fontId="9" fillId="0" borderId="0" xfId="0" applyFont="1" applyAlignment="1">
      <alignment horizontal="right" wrapText="1"/>
    </xf>
    <xf numFmtId="0" fontId="9" fillId="2" borderId="0" xfId="0" applyFont="1" applyFill="1" applyAlignment="1">
      <alignment horizontal="right" wrapText="1"/>
    </xf>
    <xf numFmtId="0" fontId="28" fillId="9" borderId="0" xfId="0" applyFont="1" applyFill="1" applyAlignment="1">
      <alignment horizontal="right" wrapText="1"/>
    </xf>
    <xf numFmtId="0" fontId="26" fillId="0" borderId="0" xfId="0" applyFont="1" applyAlignment="1">
      <alignment horizontal="right" wrapText="1"/>
    </xf>
    <xf numFmtId="0" fontId="0" fillId="0" borderId="0" xfId="0" applyAlignment="1">
      <alignment wrapText="1"/>
    </xf>
    <xf numFmtId="0" fontId="18" fillId="0" borderId="0" xfId="0" applyFont="1" applyAlignment="1">
      <alignment horizontal="left" wrapText="1"/>
    </xf>
    <xf numFmtId="0" fontId="30" fillId="8" borderId="0" xfId="0" applyFont="1" applyFill="1" applyAlignment="1">
      <alignment horizontal="left" wrapText="1"/>
    </xf>
    <xf numFmtId="0" fontId="14" fillId="0" borderId="0" xfId="0" applyFont="1" applyAlignment="1">
      <alignment horizontal="left" wrapText="1"/>
    </xf>
    <xf numFmtId="0" fontId="8" fillId="0" borderId="0" xfId="0" applyFont="1" applyAlignment="1">
      <alignment horizontal="left" wrapText="1"/>
    </xf>
    <xf numFmtId="0" fontId="27" fillId="8" borderId="0" xfId="0" applyFont="1" applyFill="1" applyAlignment="1">
      <alignment horizontal="left" wrapText="1"/>
    </xf>
    <xf numFmtId="0" fontId="35" fillId="0" borderId="20" xfId="2" applyFont="1" applyBorder="1" applyAlignment="1">
      <alignment wrapText="1"/>
    </xf>
    <xf numFmtId="0" fontId="35" fillId="0" borderId="21" xfId="2" applyFont="1" applyBorder="1" applyAlignment="1">
      <alignment horizontal="left" wrapText="1"/>
    </xf>
    <xf numFmtId="0" fontId="35" fillId="0" borderId="22" xfId="2" applyFont="1" applyBorder="1" applyAlignment="1">
      <alignment wrapText="1"/>
    </xf>
    <xf numFmtId="0" fontId="34" fillId="0" borderId="23" xfId="2" applyFont="1" applyBorder="1" applyAlignment="1">
      <alignment wrapText="1"/>
    </xf>
    <xf numFmtId="0" fontId="37" fillId="13" borderId="27" xfId="1" applyFont="1" applyFill="1" applyBorder="1"/>
    <xf numFmtId="0" fontId="34" fillId="12" borderId="0" xfId="2" applyFont="1" applyFill="1" applyBorder="1" applyAlignment="1">
      <alignment wrapText="1"/>
    </xf>
  </cellXfs>
  <cellStyles count="3">
    <cellStyle name="Normal" xfId="0" builtinId="0"/>
    <cellStyle name="Normal 2" xfId="1" xr:uid="{7C7B4741-37B6-4A5F-B18E-4D24D7737D6D}"/>
    <cellStyle name="Normal_Sheet1" xfId="2" xr:uid="{48AA94FD-DBE4-4A87-B410-8D4E5DCF7D7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ransitionEvaluation="1">
    <pageSetUpPr fitToPage="1"/>
  </sheetPr>
  <dimension ref="A1:Y68"/>
  <sheetViews>
    <sheetView defaultGridColor="0" colorId="22" zoomScaleNormal="100" zoomScaleSheetLayoutView="100" workbookViewId="0">
      <pane ySplit="9" topLeftCell="A51" activePane="bottomLeft" state="frozen"/>
      <selection pane="bottomLeft" activeCell="A9" sqref="A9:L68"/>
    </sheetView>
  </sheetViews>
  <sheetFormatPr defaultColWidth="9.6640625" defaultRowHeight="13.2"/>
  <cols>
    <col min="1" max="1" width="25.88671875" customWidth="1"/>
    <col min="2" max="2" width="9.6640625" customWidth="1"/>
    <col min="3" max="3" width="10.6640625" customWidth="1"/>
    <col min="4" max="4" width="12" customWidth="1"/>
    <col min="5" max="5" width="7.109375" customWidth="1"/>
    <col min="6" max="6" width="11.33203125" customWidth="1"/>
    <col min="7" max="7" width="10.6640625" customWidth="1"/>
    <col min="8" max="8" width="7.44140625" customWidth="1"/>
    <col min="9" max="9" width="8.88671875" customWidth="1"/>
    <col min="10" max="10" width="9.44140625" customWidth="1"/>
    <col min="11" max="11" width="7.6640625" customWidth="1"/>
    <col min="12" max="12" width="12.44140625" customWidth="1"/>
    <col min="13" max="13" width="23.6640625" customWidth="1"/>
    <col min="14" max="15" width="4.6640625" customWidth="1"/>
    <col min="16" max="18" width="5.88671875" customWidth="1"/>
    <col min="19" max="19" width="7.109375" customWidth="1"/>
    <col min="20" max="20" width="5.33203125" customWidth="1"/>
    <col min="21" max="23" width="7" customWidth="1"/>
    <col min="24" max="24" width="8.109375" customWidth="1"/>
    <col min="25" max="25" width="6.6640625" customWidth="1"/>
    <col min="26" max="26" width="1.6640625" customWidth="1"/>
    <col min="27" max="27" width="19.6640625" customWidth="1"/>
    <col min="28" max="29" width="7.6640625" customWidth="1"/>
    <col min="30" max="30" width="9.6640625" customWidth="1"/>
    <col min="31" max="33" width="7.6640625" customWidth="1"/>
    <col min="34" max="34" width="1.6640625" customWidth="1"/>
    <col min="35" max="35" width="5.6640625" customWidth="1"/>
    <col min="36" max="36" width="21.6640625" customWidth="1"/>
    <col min="37" max="40" width="10.6640625" customWidth="1"/>
    <col min="41" max="41" width="7.6640625" customWidth="1"/>
  </cols>
  <sheetData>
    <row r="1" spans="1:14" ht="16.95" customHeight="1">
      <c r="A1" s="91" t="s">
        <v>72</v>
      </c>
      <c r="B1" s="91"/>
      <c r="C1" s="91"/>
      <c r="D1" s="91"/>
      <c r="E1" s="91"/>
      <c r="F1" s="91"/>
      <c r="G1" s="91"/>
      <c r="H1" s="91"/>
      <c r="I1" s="91"/>
      <c r="J1" s="91"/>
      <c r="K1" s="91"/>
      <c r="L1" s="91"/>
      <c r="M1" s="91"/>
    </row>
    <row r="2" spans="1:14" ht="5.0999999999999996" customHeight="1">
      <c r="A2" s="27"/>
      <c r="C2" s="33"/>
      <c r="E2" s="27"/>
      <c r="F2" s="27"/>
      <c r="G2" s="27"/>
      <c r="H2" s="27"/>
      <c r="I2" s="27"/>
      <c r="J2" s="27"/>
      <c r="K2" s="27"/>
      <c r="L2" s="27"/>
    </row>
    <row r="3" spans="1:14">
      <c r="A3" s="9"/>
      <c r="C3" s="75"/>
      <c r="F3" s="75" t="s">
        <v>92</v>
      </c>
      <c r="G3" s="75"/>
      <c r="H3" s="75"/>
      <c r="I3" s="75"/>
      <c r="J3" s="75"/>
      <c r="K3" s="75"/>
      <c r="L3" s="75"/>
    </row>
    <row r="4" spans="1:14" ht="4.95" customHeight="1">
      <c r="A4" s="8"/>
      <c r="B4" s="8" t="s">
        <v>82</v>
      </c>
      <c r="C4" s="8"/>
      <c r="D4" s="8"/>
      <c r="E4" s="8"/>
      <c r="F4" s="8"/>
      <c r="G4" s="8"/>
      <c r="H4" s="8"/>
      <c r="I4" s="8"/>
      <c r="J4" s="8"/>
      <c r="K4" s="8"/>
      <c r="L4" s="8"/>
      <c r="M4" s="1"/>
    </row>
    <row r="5" spans="1:14" ht="12" customHeight="1">
      <c r="B5" s="78"/>
      <c r="D5" s="86"/>
      <c r="E5" s="77" t="s">
        <v>68</v>
      </c>
      <c r="F5" s="77"/>
      <c r="G5" s="85"/>
      <c r="H5" s="85"/>
      <c r="I5" s="84"/>
      <c r="J5" s="78"/>
      <c r="K5" s="78"/>
      <c r="L5" s="78"/>
      <c r="M5" s="6"/>
    </row>
    <row r="6" spans="1:14" ht="4.95" customHeight="1">
      <c r="A6" s="27"/>
      <c r="B6" s="27"/>
      <c r="C6" s="27"/>
      <c r="D6" s="27"/>
      <c r="E6" s="27"/>
      <c r="F6" s="27"/>
      <c r="G6" s="27"/>
      <c r="H6" s="27"/>
      <c r="I6" s="27"/>
      <c r="J6" s="27"/>
      <c r="K6" s="27"/>
      <c r="L6" s="27"/>
      <c r="M6" s="6"/>
    </row>
    <row r="7" spans="1:14" ht="12" customHeight="1">
      <c r="C7" s="76"/>
      <c r="D7" s="76"/>
      <c r="E7" s="76"/>
      <c r="F7" s="76"/>
      <c r="G7" s="76"/>
      <c r="H7" s="76"/>
      <c r="I7" s="76"/>
      <c r="J7" s="76"/>
      <c r="K7" s="76"/>
      <c r="L7" s="76"/>
      <c r="M7" s="5"/>
    </row>
    <row r="8" spans="1:14">
      <c r="A8" s="8"/>
      <c r="B8" s="24"/>
      <c r="C8" s="76"/>
      <c r="D8" s="76"/>
      <c r="E8" s="76"/>
      <c r="F8" s="76"/>
      <c r="G8" s="76"/>
      <c r="H8" s="76"/>
      <c r="I8" s="76"/>
      <c r="J8" s="76"/>
      <c r="K8" s="79"/>
      <c r="L8" s="76"/>
      <c r="M8" s="6"/>
      <c r="N8" s="2"/>
    </row>
    <row r="9" spans="1:14" ht="16.95" customHeight="1" thickBot="1">
      <c r="A9" s="35"/>
      <c r="B9" s="28" t="s">
        <v>44</v>
      </c>
      <c r="C9" s="28" t="s">
        <v>62</v>
      </c>
      <c r="D9" s="28" t="s">
        <v>84</v>
      </c>
      <c r="E9" s="28" t="s">
        <v>61</v>
      </c>
      <c r="F9" s="28" t="s">
        <v>63</v>
      </c>
      <c r="G9" s="28" t="s">
        <v>91</v>
      </c>
      <c r="H9" s="28" t="s">
        <v>64</v>
      </c>
      <c r="I9" s="28" t="s">
        <v>65</v>
      </c>
      <c r="J9" s="71" t="s">
        <v>83</v>
      </c>
      <c r="K9" s="24" t="s">
        <v>66</v>
      </c>
      <c r="L9" s="31" t="s">
        <v>56</v>
      </c>
      <c r="M9" s="40"/>
    </row>
    <row r="10" spans="1:14" ht="16.95" customHeight="1">
      <c r="A10" s="22" t="s">
        <v>0</v>
      </c>
      <c r="B10" s="64" t="s">
        <v>76</v>
      </c>
      <c r="C10" s="61" t="s">
        <v>35</v>
      </c>
      <c r="D10" s="11" t="s">
        <v>38</v>
      </c>
      <c r="E10" s="10"/>
      <c r="F10" s="12" t="s">
        <v>75</v>
      </c>
      <c r="G10" s="58" t="s">
        <v>75</v>
      </c>
      <c r="H10" s="10"/>
      <c r="I10" s="10"/>
      <c r="J10" s="72"/>
      <c r="K10" s="73" t="s">
        <v>35</v>
      </c>
      <c r="L10" s="74" t="s">
        <v>77</v>
      </c>
      <c r="M10" s="40"/>
    </row>
    <row r="11" spans="1:14" ht="16.95" customHeight="1">
      <c r="A11" s="59" t="s">
        <v>1</v>
      </c>
      <c r="B11" s="65" t="s">
        <v>2</v>
      </c>
      <c r="C11" s="48"/>
      <c r="D11" s="16"/>
      <c r="E11" s="15"/>
      <c r="F11" s="17" t="s">
        <v>3</v>
      </c>
      <c r="G11" s="50" t="s">
        <v>3</v>
      </c>
      <c r="H11" s="15" t="s">
        <v>3</v>
      </c>
      <c r="I11" s="15"/>
      <c r="J11" s="43"/>
      <c r="K11" s="15"/>
      <c r="L11" s="42" t="s">
        <v>3</v>
      </c>
      <c r="M11" s="6"/>
    </row>
    <row r="12" spans="1:14" ht="16.95" customHeight="1">
      <c r="A12" s="22" t="s">
        <v>4</v>
      </c>
      <c r="B12" s="46" t="s">
        <v>3</v>
      </c>
      <c r="C12" s="20" t="s">
        <v>78</v>
      </c>
      <c r="D12" s="10" t="s">
        <v>3</v>
      </c>
      <c r="E12" s="10"/>
      <c r="F12" s="12" t="s">
        <v>75</v>
      </c>
      <c r="G12" s="58" t="s">
        <v>75</v>
      </c>
      <c r="H12" s="10" t="s">
        <v>18</v>
      </c>
      <c r="I12" s="10"/>
      <c r="J12" s="9" t="s">
        <v>3</v>
      </c>
      <c r="K12" s="10" t="s">
        <v>35</v>
      </c>
      <c r="L12" s="11" t="s">
        <v>80</v>
      </c>
    </row>
    <row r="13" spans="1:14" ht="16.95" customHeight="1">
      <c r="A13" s="59" t="s">
        <v>5</v>
      </c>
      <c r="B13" s="65" t="s">
        <v>6</v>
      </c>
      <c r="C13" s="21"/>
      <c r="D13" s="15"/>
      <c r="E13" s="15"/>
      <c r="F13" s="17" t="s">
        <v>18</v>
      </c>
      <c r="G13" s="50" t="s">
        <v>18</v>
      </c>
      <c r="H13" s="15" t="s">
        <v>18</v>
      </c>
      <c r="I13" s="15"/>
      <c r="J13" s="43"/>
      <c r="K13" s="15"/>
      <c r="L13" s="42" t="s">
        <v>18</v>
      </c>
      <c r="M13" s="6"/>
    </row>
    <row r="14" spans="1:14" ht="16.95" customHeight="1">
      <c r="A14" s="22" t="s">
        <v>54</v>
      </c>
      <c r="B14" s="66" t="s">
        <v>6</v>
      </c>
      <c r="C14" s="20"/>
      <c r="D14" s="10"/>
      <c r="E14" s="10"/>
      <c r="F14" s="10" t="s">
        <v>18</v>
      </c>
      <c r="G14" s="10" t="s">
        <v>18</v>
      </c>
      <c r="H14" s="10" t="s">
        <v>18</v>
      </c>
      <c r="I14" s="10"/>
      <c r="J14" s="9"/>
      <c r="K14" s="10"/>
      <c r="L14" s="10" t="s">
        <v>18</v>
      </c>
      <c r="M14" s="6"/>
    </row>
    <row r="15" spans="1:14" ht="16.95" customHeight="1">
      <c r="A15" s="59" t="s">
        <v>7</v>
      </c>
      <c r="B15" s="65" t="s">
        <v>6</v>
      </c>
      <c r="C15" s="21"/>
      <c r="D15" s="15"/>
      <c r="E15" s="15"/>
      <c r="F15" s="15" t="s">
        <v>18</v>
      </c>
      <c r="G15" s="15" t="s">
        <v>18</v>
      </c>
      <c r="H15" s="15" t="s">
        <v>18</v>
      </c>
      <c r="I15" s="15"/>
      <c r="J15" s="43"/>
      <c r="K15" s="15"/>
      <c r="L15" s="15" t="s">
        <v>3</v>
      </c>
      <c r="M15" s="6"/>
    </row>
    <row r="16" spans="1:14" ht="16.95" customHeight="1">
      <c r="A16" s="22" t="s">
        <v>53</v>
      </c>
      <c r="B16" s="46"/>
      <c r="C16" s="20"/>
      <c r="D16" s="10"/>
      <c r="E16" s="10"/>
      <c r="F16" s="10"/>
      <c r="G16" s="10"/>
      <c r="H16" s="10"/>
      <c r="I16" s="12"/>
      <c r="J16" s="46"/>
      <c r="K16" s="20" t="s">
        <v>3</v>
      </c>
      <c r="L16" s="10" t="s">
        <v>3</v>
      </c>
      <c r="M16" s="6"/>
    </row>
    <row r="17" spans="1:13" ht="16.95" customHeight="1">
      <c r="A17" s="59" t="s">
        <v>34</v>
      </c>
      <c r="B17" s="65" t="s">
        <v>6</v>
      </c>
      <c r="C17" s="21"/>
      <c r="D17" s="15"/>
      <c r="E17" s="15"/>
      <c r="F17" s="15" t="s">
        <v>18</v>
      </c>
      <c r="G17" s="15" t="s">
        <v>18</v>
      </c>
      <c r="H17" s="15" t="s">
        <v>18</v>
      </c>
      <c r="I17" s="17"/>
      <c r="J17" s="47"/>
      <c r="K17" s="21"/>
      <c r="L17" s="15" t="s">
        <v>87</v>
      </c>
      <c r="M17" s="6"/>
    </row>
    <row r="18" spans="1:13" ht="16.95" customHeight="1">
      <c r="A18" s="22" t="s">
        <v>55</v>
      </c>
      <c r="B18" s="66" t="s">
        <v>6</v>
      </c>
      <c r="C18" s="20"/>
      <c r="D18" s="10"/>
      <c r="E18" s="10"/>
      <c r="F18" s="10" t="s">
        <v>18</v>
      </c>
      <c r="G18" s="10" t="s">
        <v>18</v>
      </c>
      <c r="H18" s="10" t="s">
        <v>18</v>
      </c>
      <c r="I18" s="12"/>
      <c r="J18" s="46"/>
      <c r="K18" s="20"/>
      <c r="L18" s="87" t="s">
        <v>97</v>
      </c>
      <c r="M18" s="6"/>
    </row>
    <row r="19" spans="1:13" ht="18" customHeight="1">
      <c r="A19" s="59" t="s">
        <v>40</v>
      </c>
      <c r="B19" s="65" t="s">
        <v>6</v>
      </c>
      <c r="C19" s="21"/>
      <c r="D19" s="15"/>
      <c r="E19" s="15"/>
      <c r="F19" s="15" t="s">
        <v>18</v>
      </c>
      <c r="G19" s="15" t="s">
        <v>18</v>
      </c>
      <c r="H19" s="15" t="s">
        <v>18</v>
      </c>
      <c r="I19" s="17"/>
      <c r="J19" s="47"/>
      <c r="K19" s="45"/>
      <c r="L19" s="42" t="s">
        <v>38</v>
      </c>
      <c r="M19" s="6"/>
    </row>
    <row r="20" spans="1:13" ht="18" customHeight="1">
      <c r="A20" s="22" t="s">
        <v>41</v>
      </c>
      <c r="B20" s="46"/>
      <c r="C20" s="20"/>
      <c r="D20" s="10"/>
      <c r="E20" s="10"/>
      <c r="F20" s="10"/>
      <c r="G20" s="10"/>
      <c r="H20" s="10"/>
      <c r="I20" s="12"/>
      <c r="J20" s="46"/>
      <c r="K20" s="20"/>
      <c r="L20" s="11" t="s">
        <v>38</v>
      </c>
      <c r="M20" s="40"/>
    </row>
    <row r="21" spans="1:13" ht="18" customHeight="1">
      <c r="A21" s="59" t="s">
        <v>73</v>
      </c>
      <c r="B21" s="67"/>
      <c r="C21" s="21"/>
      <c r="D21" s="15"/>
      <c r="E21" s="15"/>
      <c r="F21" s="16" t="s">
        <v>38</v>
      </c>
      <c r="G21" s="16" t="s">
        <v>38</v>
      </c>
      <c r="H21" s="15"/>
      <c r="I21" s="17"/>
      <c r="J21" s="47"/>
      <c r="K21" s="21"/>
      <c r="L21" s="16" t="s">
        <v>38</v>
      </c>
      <c r="M21" s="40"/>
    </row>
    <row r="22" spans="1:13" ht="18" customHeight="1">
      <c r="A22" s="22" t="s">
        <v>89</v>
      </c>
      <c r="B22" s="46" t="s">
        <v>3</v>
      </c>
      <c r="C22" s="20"/>
      <c r="D22" s="10"/>
      <c r="E22" s="10"/>
      <c r="F22" s="10"/>
      <c r="G22" s="20" t="s">
        <v>3</v>
      </c>
      <c r="H22" s="11"/>
      <c r="I22" s="32"/>
      <c r="J22" s="46"/>
      <c r="K22" s="9"/>
      <c r="L22" s="11" t="s">
        <v>51</v>
      </c>
      <c r="M22" s="40"/>
    </row>
    <row r="23" spans="1:13" ht="16.95" customHeight="1">
      <c r="A23" s="59" t="s">
        <v>90</v>
      </c>
      <c r="B23" s="67" t="s">
        <v>3</v>
      </c>
      <c r="C23" s="21"/>
      <c r="D23" s="15"/>
      <c r="E23" s="15"/>
      <c r="F23" s="49"/>
      <c r="G23" s="21" t="s">
        <v>3</v>
      </c>
      <c r="H23" s="16"/>
      <c r="I23" s="44"/>
      <c r="J23" s="47"/>
      <c r="K23" s="43"/>
      <c r="L23" s="16" t="s">
        <v>51</v>
      </c>
      <c r="M23" s="40"/>
    </row>
    <row r="24" spans="1:13" ht="16.95" customHeight="1">
      <c r="A24" s="22" t="s">
        <v>24</v>
      </c>
      <c r="B24" s="65" t="s">
        <v>6</v>
      </c>
      <c r="C24" s="20"/>
      <c r="D24" s="10"/>
      <c r="E24" s="10"/>
      <c r="F24" s="10" t="s">
        <v>18</v>
      </c>
      <c r="G24" s="20" t="s">
        <v>18</v>
      </c>
      <c r="H24" s="10"/>
      <c r="I24" s="12"/>
      <c r="J24" s="46"/>
      <c r="K24" s="9"/>
      <c r="L24" s="10" t="s">
        <v>3</v>
      </c>
      <c r="M24" s="6"/>
    </row>
    <row r="25" spans="1:13" ht="16.95" customHeight="1">
      <c r="A25" s="59" t="s">
        <v>27</v>
      </c>
      <c r="B25" s="66"/>
      <c r="C25" s="21"/>
      <c r="D25" s="15"/>
      <c r="E25" s="15"/>
      <c r="F25" s="15" t="s">
        <v>18</v>
      </c>
      <c r="G25" s="21" t="s">
        <v>18</v>
      </c>
      <c r="H25" s="15"/>
      <c r="I25" s="17"/>
      <c r="J25" s="47"/>
      <c r="K25" s="43"/>
      <c r="L25" s="15" t="s">
        <v>18</v>
      </c>
      <c r="M25" s="6"/>
    </row>
    <row r="26" spans="1:13" ht="16.95" customHeight="1">
      <c r="A26" s="22" t="s">
        <v>9</v>
      </c>
      <c r="B26" s="65" t="s">
        <v>6</v>
      </c>
      <c r="C26" s="20"/>
      <c r="D26" s="10"/>
      <c r="E26" s="10"/>
      <c r="F26" s="10" t="s">
        <v>18</v>
      </c>
      <c r="G26" s="20" t="s">
        <v>18</v>
      </c>
      <c r="H26" s="10" t="s">
        <v>18</v>
      </c>
      <c r="I26" s="12"/>
      <c r="J26" s="46"/>
      <c r="K26" s="20"/>
      <c r="L26" s="11" t="s">
        <v>18</v>
      </c>
      <c r="M26" s="6"/>
    </row>
    <row r="27" spans="1:13" ht="16.95" customHeight="1">
      <c r="A27" s="59" t="s">
        <v>10</v>
      </c>
      <c r="B27" s="66" t="s">
        <v>6</v>
      </c>
      <c r="C27" s="21"/>
      <c r="D27" s="15"/>
      <c r="E27" s="15"/>
      <c r="F27" s="15"/>
      <c r="G27" s="21"/>
      <c r="H27" s="15"/>
      <c r="I27" s="15"/>
      <c r="J27" s="15"/>
      <c r="K27" s="15"/>
      <c r="L27" s="16" t="s">
        <v>38</v>
      </c>
      <c r="M27" s="6"/>
    </row>
    <row r="28" spans="1:13" ht="16.95" customHeight="1">
      <c r="A28" s="22" t="s">
        <v>11</v>
      </c>
      <c r="B28" s="65" t="s">
        <v>6</v>
      </c>
      <c r="C28" s="20"/>
      <c r="D28" s="12"/>
      <c r="E28" s="10"/>
      <c r="F28" s="10" t="s">
        <v>18</v>
      </c>
      <c r="G28" s="20" t="s">
        <v>18</v>
      </c>
      <c r="H28" s="10"/>
      <c r="I28" s="10"/>
      <c r="J28" s="9" t="s">
        <v>18</v>
      </c>
      <c r="K28" s="10"/>
      <c r="L28" s="11" t="s">
        <v>18</v>
      </c>
      <c r="M28" s="6"/>
    </row>
    <row r="29" spans="1:13" ht="16.95" customHeight="1">
      <c r="A29" s="59" t="s">
        <v>12</v>
      </c>
      <c r="B29" s="66"/>
      <c r="C29" s="21"/>
      <c r="D29" s="17"/>
      <c r="E29" s="15"/>
      <c r="F29" s="16"/>
      <c r="G29" s="48"/>
      <c r="H29" s="16"/>
      <c r="I29" s="16"/>
      <c r="J29" s="15"/>
      <c r="K29" s="15"/>
      <c r="L29" s="15" t="s">
        <v>18</v>
      </c>
      <c r="M29" s="6"/>
    </row>
    <row r="30" spans="1:13" ht="16.95" customHeight="1">
      <c r="A30" s="22" t="s">
        <v>36</v>
      </c>
      <c r="B30" s="46" t="s">
        <v>3</v>
      </c>
      <c r="C30" s="20"/>
      <c r="D30" s="12"/>
      <c r="E30" s="10"/>
      <c r="F30" s="10"/>
      <c r="G30" s="20" t="s">
        <v>2</v>
      </c>
      <c r="H30" s="11"/>
      <c r="I30" s="11"/>
      <c r="J30" s="9"/>
      <c r="K30" s="10"/>
      <c r="L30" s="11" t="s">
        <v>51</v>
      </c>
      <c r="M30" s="6"/>
    </row>
    <row r="31" spans="1:13" ht="16.95" customHeight="1">
      <c r="A31" s="59" t="s">
        <v>42</v>
      </c>
      <c r="B31" s="47" t="s">
        <v>3</v>
      </c>
      <c r="C31" s="21"/>
      <c r="D31" s="17"/>
      <c r="E31" s="15"/>
      <c r="F31" s="49"/>
      <c r="G31" s="21" t="s">
        <v>2</v>
      </c>
      <c r="H31" s="16"/>
      <c r="I31" s="16"/>
      <c r="J31" s="43"/>
      <c r="K31" s="15"/>
      <c r="L31" s="16" t="s">
        <v>51</v>
      </c>
      <c r="M31" s="6"/>
    </row>
    <row r="32" spans="1:13" ht="16.95" customHeight="1">
      <c r="A32" s="22" t="s">
        <v>28</v>
      </c>
      <c r="B32" s="46" t="s">
        <v>3</v>
      </c>
      <c r="C32" s="20"/>
      <c r="D32" s="12"/>
      <c r="E32" s="10"/>
      <c r="F32" s="10"/>
      <c r="G32" s="20" t="s">
        <v>8</v>
      </c>
      <c r="H32" s="11"/>
      <c r="I32" s="11"/>
      <c r="J32" s="9"/>
      <c r="K32" s="10"/>
      <c r="L32" s="11" t="s">
        <v>51</v>
      </c>
      <c r="M32" s="6"/>
    </row>
    <row r="33" spans="1:15" ht="16.95" customHeight="1">
      <c r="A33" s="82" t="s">
        <v>93</v>
      </c>
      <c r="B33" s="67"/>
      <c r="C33" s="21"/>
      <c r="D33" s="17"/>
      <c r="E33" s="15"/>
      <c r="F33" s="15"/>
      <c r="G33" s="48"/>
      <c r="H33" s="16"/>
      <c r="I33" s="16"/>
      <c r="J33" s="15"/>
      <c r="K33" s="15"/>
      <c r="L33" s="83" t="s">
        <v>51</v>
      </c>
      <c r="M33" s="41"/>
    </row>
    <row r="34" spans="1:15" ht="16.95" customHeight="1">
      <c r="A34" s="22" t="s">
        <v>29</v>
      </c>
      <c r="B34" s="65" t="s">
        <v>2</v>
      </c>
      <c r="C34" s="20"/>
      <c r="D34" s="12"/>
      <c r="E34" s="10"/>
      <c r="F34" s="10"/>
      <c r="G34" s="20"/>
      <c r="H34" s="10" t="s">
        <v>3</v>
      </c>
      <c r="I34" s="10"/>
      <c r="J34" s="10"/>
      <c r="K34" s="10"/>
      <c r="L34" s="10" t="s">
        <v>38</v>
      </c>
      <c r="M34" s="6"/>
    </row>
    <row r="35" spans="1:15" ht="16.95" customHeight="1">
      <c r="A35" s="59" t="s">
        <v>30</v>
      </c>
      <c r="B35" s="66" t="s">
        <v>6</v>
      </c>
      <c r="C35" s="21"/>
      <c r="D35" s="17"/>
      <c r="E35" s="15"/>
      <c r="F35" s="15" t="s">
        <v>18</v>
      </c>
      <c r="G35" s="21" t="s">
        <v>18</v>
      </c>
      <c r="H35" s="15" t="s">
        <v>18</v>
      </c>
      <c r="I35" s="15"/>
      <c r="J35" s="43"/>
      <c r="K35" s="15"/>
      <c r="L35" s="16" t="s">
        <v>18</v>
      </c>
      <c r="M35" s="6"/>
    </row>
    <row r="36" spans="1:15" ht="16.95" customHeight="1">
      <c r="A36" s="22" t="s">
        <v>13</v>
      </c>
      <c r="B36" s="65" t="s">
        <v>6</v>
      </c>
      <c r="C36" s="20"/>
      <c r="D36" s="12"/>
      <c r="E36" s="10"/>
      <c r="F36" s="10" t="s">
        <v>18</v>
      </c>
      <c r="G36" s="9" t="s">
        <v>18</v>
      </c>
      <c r="H36" s="10"/>
      <c r="I36" s="10"/>
      <c r="J36" s="9"/>
      <c r="K36" s="10"/>
      <c r="L36" s="11" t="s">
        <v>38</v>
      </c>
      <c r="M36" s="6"/>
    </row>
    <row r="37" spans="1:15" ht="16.95" customHeight="1">
      <c r="A37" s="59" t="s">
        <v>31</v>
      </c>
      <c r="B37" s="66" t="s">
        <v>6</v>
      </c>
      <c r="C37" s="21"/>
      <c r="D37" s="17"/>
      <c r="E37" s="15"/>
      <c r="F37" s="15" t="s">
        <v>18</v>
      </c>
      <c r="G37" s="21" t="s">
        <v>18</v>
      </c>
      <c r="H37" s="15" t="s">
        <v>18</v>
      </c>
      <c r="I37" s="15"/>
      <c r="J37" s="43"/>
      <c r="K37" s="15"/>
      <c r="L37" s="15" t="s">
        <v>38</v>
      </c>
      <c r="M37" s="6"/>
    </row>
    <row r="38" spans="1:15" ht="16.95" customHeight="1">
      <c r="A38" s="22" t="s">
        <v>45</v>
      </c>
      <c r="B38" s="68" t="s">
        <v>21</v>
      </c>
      <c r="C38" s="20"/>
      <c r="D38" s="12"/>
      <c r="E38" s="10"/>
      <c r="F38" s="10"/>
      <c r="G38" s="20"/>
      <c r="H38" s="10"/>
      <c r="I38" s="10"/>
      <c r="J38" s="11"/>
      <c r="K38" s="11"/>
      <c r="L38" s="11" t="s">
        <v>6</v>
      </c>
      <c r="M38" s="6"/>
      <c r="O38" s="6"/>
    </row>
    <row r="39" spans="1:15" ht="16.95" customHeight="1">
      <c r="A39" s="59" t="s">
        <v>52</v>
      </c>
      <c r="B39" s="67"/>
      <c r="C39" s="21"/>
      <c r="D39" s="17"/>
      <c r="E39" s="15"/>
      <c r="F39" s="15"/>
      <c r="G39" s="21"/>
      <c r="H39" s="15"/>
      <c r="I39" s="15"/>
      <c r="J39" s="15"/>
      <c r="K39" s="15"/>
      <c r="L39" s="16" t="s">
        <v>38</v>
      </c>
      <c r="M39" s="6"/>
    </row>
    <row r="40" spans="1:15" ht="16.95" customHeight="1">
      <c r="A40" s="60" t="s">
        <v>86</v>
      </c>
      <c r="B40" s="69"/>
      <c r="C40" s="57"/>
      <c r="D40" s="56"/>
      <c r="E40" s="55"/>
      <c r="F40" s="55"/>
      <c r="G40" s="54"/>
      <c r="H40" s="55"/>
      <c r="I40" s="57"/>
      <c r="J40" s="57"/>
      <c r="K40" s="57"/>
      <c r="L40" s="11" t="s">
        <v>38</v>
      </c>
      <c r="M40" s="6"/>
    </row>
    <row r="41" spans="1:15" ht="16.5" customHeight="1">
      <c r="A41" s="59" t="s">
        <v>14</v>
      </c>
      <c r="B41" s="67" t="s">
        <v>50</v>
      </c>
      <c r="C41" s="21" t="s">
        <v>3</v>
      </c>
      <c r="D41" s="17"/>
      <c r="E41" s="15"/>
      <c r="F41" s="15" t="s">
        <v>74</v>
      </c>
      <c r="G41" s="21" t="s">
        <v>74</v>
      </c>
      <c r="H41" s="15"/>
      <c r="I41" s="15"/>
      <c r="J41" s="43"/>
      <c r="K41" s="15"/>
      <c r="L41" s="83" t="s">
        <v>100</v>
      </c>
      <c r="M41" s="40"/>
    </row>
    <row r="42" spans="1:15" ht="16.95" customHeight="1">
      <c r="A42" s="22" t="s">
        <v>85</v>
      </c>
      <c r="B42" s="46"/>
      <c r="C42" s="20"/>
      <c r="D42" s="10" t="s">
        <v>18</v>
      </c>
      <c r="E42" s="10"/>
      <c r="F42" s="11"/>
      <c r="G42" s="9"/>
      <c r="H42" s="11"/>
      <c r="I42" s="24" t="s">
        <v>74</v>
      </c>
      <c r="J42" s="10"/>
      <c r="K42" s="10"/>
      <c r="L42" s="11" t="s">
        <v>38</v>
      </c>
      <c r="M42" s="40"/>
    </row>
    <row r="43" spans="1:15" ht="16.95" customHeight="1">
      <c r="A43" s="59" t="s">
        <v>15</v>
      </c>
      <c r="B43" s="67" t="s">
        <v>6</v>
      </c>
      <c r="C43" s="21"/>
      <c r="D43" s="17"/>
      <c r="E43" s="15"/>
      <c r="F43" s="15" t="s">
        <v>6</v>
      </c>
      <c r="G43" s="21" t="s">
        <v>6</v>
      </c>
      <c r="H43" s="15"/>
      <c r="I43" s="15"/>
      <c r="J43" s="43"/>
      <c r="K43" s="15"/>
      <c r="L43" s="83" t="s">
        <v>95</v>
      </c>
      <c r="M43" s="6"/>
    </row>
    <row r="44" spans="1:15" ht="16.95" customHeight="1">
      <c r="A44" s="22" t="s">
        <v>26</v>
      </c>
      <c r="B44" s="68" t="s">
        <v>21</v>
      </c>
      <c r="C44" s="20" t="s">
        <v>3</v>
      </c>
      <c r="D44" s="10" t="s">
        <v>3</v>
      </c>
      <c r="E44" s="9" t="s">
        <v>18</v>
      </c>
      <c r="F44" s="10"/>
      <c r="G44" s="20"/>
      <c r="H44" s="10"/>
      <c r="I44" s="10"/>
      <c r="J44" s="10"/>
      <c r="K44" s="10"/>
      <c r="L44" s="87" t="s">
        <v>96</v>
      </c>
      <c r="M44" s="40"/>
    </row>
    <row r="45" spans="1:15" ht="16.95" customHeight="1">
      <c r="A45" s="59" t="s">
        <v>16</v>
      </c>
      <c r="B45" s="67" t="s">
        <v>6</v>
      </c>
      <c r="C45" s="21"/>
      <c r="D45" s="17"/>
      <c r="E45" s="15"/>
      <c r="F45" s="15" t="s">
        <v>6</v>
      </c>
      <c r="G45" s="21" t="s">
        <v>6</v>
      </c>
      <c r="H45" s="15"/>
      <c r="I45" s="15"/>
      <c r="J45" s="43"/>
      <c r="K45" s="15"/>
      <c r="L45" s="83" t="s">
        <v>95</v>
      </c>
      <c r="M45" s="6"/>
    </row>
    <row r="46" spans="1:15" ht="16.95" customHeight="1">
      <c r="A46" s="22" t="s">
        <v>17</v>
      </c>
      <c r="B46" s="46" t="s">
        <v>18</v>
      </c>
      <c r="C46" s="20"/>
      <c r="D46" s="10"/>
      <c r="E46" s="10"/>
      <c r="F46" s="10" t="s">
        <v>18</v>
      </c>
      <c r="G46" s="20" t="s">
        <v>18</v>
      </c>
      <c r="H46" s="10"/>
      <c r="I46" s="10"/>
      <c r="J46" s="10"/>
      <c r="K46" s="10"/>
      <c r="L46" s="11" t="s">
        <v>38</v>
      </c>
      <c r="M46" s="6"/>
    </row>
    <row r="47" spans="1:15" ht="16.95" customHeight="1">
      <c r="A47" s="59" t="s">
        <v>32</v>
      </c>
      <c r="B47" s="67"/>
      <c r="C47" s="21" t="s">
        <v>75</v>
      </c>
      <c r="D47" s="17" t="s">
        <v>75</v>
      </c>
      <c r="E47" s="15"/>
      <c r="F47" s="15" t="s">
        <v>75</v>
      </c>
      <c r="G47" s="21" t="s">
        <v>75</v>
      </c>
      <c r="H47" s="15"/>
      <c r="I47" s="15" t="s">
        <v>35</v>
      </c>
      <c r="J47" s="43"/>
      <c r="K47" s="15"/>
      <c r="L47" s="15" t="s">
        <v>38</v>
      </c>
      <c r="M47" s="6"/>
    </row>
    <row r="48" spans="1:15" ht="16.95" customHeight="1">
      <c r="A48" s="22" t="s">
        <v>25</v>
      </c>
      <c r="B48" s="46" t="s">
        <v>3</v>
      </c>
      <c r="C48" s="62" t="s">
        <v>3</v>
      </c>
      <c r="D48" s="9" t="s">
        <v>3</v>
      </c>
      <c r="E48" s="10"/>
      <c r="F48" s="10"/>
      <c r="G48" s="9" t="s">
        <v>3</v>
      </c>
      <c r="H48" s="11"/>
      <c r="I48" s="11"/>
      <c r="J48" s="9"/>
      <c r="K48" s="10"/>
      <c r="L48" s="11" t="s">
        <v>39</v>
      </c>
      <c r="M48" s="40"/>
    </row>
    <row r="49" spans="1:25" ht="16.95" customHeight="1">
      <c r="A49" s="59" t="s">
        <v>71</v>
      </c>
      <c r="B49" s="67" t="s">
        <v>3</v>
      </c>
      <c r="C49" s="21" t="s">
        <v>3</v>
      </c>
      <c r="D49" s="17" t="s">
        <v>3</v>
      </c>
      <c r="E49" s="15"/>
      <c r="F49" s="15"/>
      <c r="G49" s="21" t="s">
        <v>3</v>
      </c>
      <c r="H49" s="15"/>
      <c r="I49" s="15"/>
      <c r="J49" s="43"/>
      <c r="K49" s="15"/>
      <c r="L49" s="15" t="s">
        <v>39</v>
      </c>
      <c r="M49" s="6"/>
    </row>
    <row r="50" spans="1:25" ht="16.95" customHeight="1">
      <c r="A50" s="22" t="s">
        <v>19</v>
      </c>
      <c r="B50" s="46" t="s">
        <v>3</v>
      </c>
      <c r="C50" s="62" t="s">
        <v>35</v>
      </c>
      <c r="D50" s="9" t="s">
        <v>75</v>
      </c>
      <c r="E50" s="10"/>
      <c r="F50" s="10" t="s">
        <v>35</v>
      </c>
      <c r="G50" s="11" t="s">
        <v>35</v>
      </c>
      <c r="H50" s="10"/>
      <c r="I50" s="10"/>
      <c r="J50" s="9"/>
      <c r="K50" s="10"/>
      <c r="L50" s="11" t="s">
        <v>35</v>
      </c>
      <c r="M50" s="40"/>
    </row>
    <row r="51" spans="1:25" ht="16.95" customHeight="1">
      <c r="A51" s="59" t="s">
        <v>20</v>
      </c>
      <c r="B51" s="67"/>
      <c r="C51" s="21"/>
      <c r="D51" s="17"/>
      <c r="E51" s="15"/>
      <c r="F51" s="15"/>
      <c r="G51" s="21"/>
      <c r="H51" s="15"/>
      <c r="I51" s="15"/>
      <c r="J51" s="15"/>
      <c r="K51" s="15"/>
      <c r="L51" s="16" t="s">
        <v>38</v>
      </c>
      <c r="M51" s="2"/>
    </row>
    <row r="52" spans="1:25" ht="16.95" customHeight="1">
      <c r="A52" s="22" t="s">
        <v>33</v>
      </c>
      <c r="B52" s="46"/>
      <c r="C52" s="20"/>
      <c r="D52" s="10"/>
      <c r="E52" s="10"/>
      <c r="F52" s="10"/>
      <c r="G52" s="10"/>
      <c r="H52" s="10"/>
      <c r="I52" s="20"/>
      <c r="J52" s="10"/>
      <c r="K52" s="10"/>
      <c r="L52" s="11" t="s">
        <v>38</v>
      </c>
      <c r="M52" s="2"/>
    </row>
    <row r="53" spans="1:25" ht="17.100000000000001" customHeight="1">
      <c r="A53" s="59" t="s">
        <v>79</v>
      </c>
      <c r="B53" s="67" t="s">
        <v>3</v>
      </c>
      <c r="C53" s="21"/>
      <c r="D53" s="17"/>
      <c r="E53" s="15"/>
      <c r="F53" s="15" t="s">
        <v>3</v>
      </c>
      <c r="G53" s="21" t="s">
        <v>3</v>
      </c>
      <c r="H53" s="15"/>
      <c r="I53" s="15" t="s">
        <v>3</v>
      </c>
      <c r="J53" s="43" t="s">
        <v>3</v>
      </c>
      <c r="K53" s="15"/>
      <c r="L53" s="83" t="s">
        <v>38</v>
      </c>
      <c r="M53" s="6"/>
    </row>
    <row r="54" spans="1:25" ht="16.5" customHeight="1">
      <c r="A54" s="22" t="s">
        <v>60</v>
      </c>
      <c r="B54" s="70"/>
      <c r="C54" s="51"/>
      <c r="D54" s="34"/>
      <c r="E54" s="34"/>
      <c r="F54" s="34"/>
      <c r="G54" s="34"/>
      <c r="H54" s="34"/>
      <c r="I54" s="34"/>
      <c r="J54" s="10"/>
      <c r="K54" s="10"/>
      <c r="L54" s="11" t="s">
        <v>38</v>
      </c>
      <c r="M54" s="3"/>
      <c r="N54" s="3"/>
      <c r="O54" s="3"/>
      <c r="P54" s="3"/>
      <c r="Q54" s="2"/>
      <c r="T54" s="3"/>
    </row>
    <row r="55" spans="1:25" ht="15.6">
      <c r="A55" s="59" t="s">
        <v>58</v>
      </c>
      <c r="B55" s="67"/>
      <c r="C55" s="21"/>
      <c r="D55" s="17"/>
      <c r="E55" s="15"/>
      <c r="F55" s="15"/>
      <c r="G55" s="21"/>
      <c r="H55" s="15"/>
      <c r="I55" s="15"/>
      <c r="J55" s="43"/>
      <c r="K55" s="15"/>
      <c r="L55" s="15"/>
      <c r="M55" s="40"/>
    </row>
    <row r="56" spans="1:25" ht="16.5" customHeight="1">
      <c r="A56" s="22" t="s">
        <v>43</v>
      </c>
      <c r="B56" s="70"/>
      <c r="C56" s="51"/>
      <c r="D56" s="34"/>
      <c r="E56" s="8"/>
      <c r="F56" s="34"/>
      <c r="G56" s="8"/>
      <c r="H56" s="34"/>
      <c r="I56" s="51"/>
      <c r="J56" s="52"/>
      <c r="K56" s="52"/>
      <c r="L56" s="83" t="s">
        <v>95</v>
      </c>
      <c r="M56" s="3"/>
      <c r="N56" s="3"/>
      <c r="O56" s="3"/>
      <c r="P56" s="3"/>
      <c r="Q56" s="3"/>
    </row>
    <row r="57" spans="1:25" ht="18.75" customHeight="1">
      <c r="A57" s="59" t="s">
        <v>37</v>
      </c>
      <c r="B57" s="67"/>
      <c r="C57" s="21"/>
      <c r="D57" s="17"/>
      <c r="E57" s="15"/>
      <c r="F57" s="15"/>
      <c r="G57" s="21"/>
      <c r="H57" s="15"/>
      <c r="I57" s="15"/>
      <c r="J57" s="43"/>
      <c r="K57" s="15"/>
      <c r="L57" s="15" t="s">
        <v>88</v>
      </c>
      <c r="M57" s="3"/>
      <c r="Q57" s="3"/>
      <c r="X57" s="4"/>
    </row>
    <row r="58" spans="1:25" ht="18">
      <c r="A58" s="22" t="s">
        <v>46</v>
      </c>
      <c r="B58" s="70"/>
      <c r="C58" s="63"/>
      <c r="D58" s="53"/>
      <c r="E58" s="14"/>
      <c r="F58" s="53"/>
      <c r="G58" s="14"/>
      <c r="H58" s="53"/>
      <c r="I58" s="10" t="s">
        <v>3</v>
      </c>
      <c r="J58" s="10" t="s">
        <v>3</v>
      </c>
      <c r="K58" s="10"/>
      <c r="L58" s="10" t="s">
        <v>3</v>
      </c>
      <c r="M58" s="7"/>
      <c r="N58" s="3"/>
      <c r="W58" s="3"/>
    </row>
    <row r="59" spans="1:25" ht="8.1" customHeight="1">
      <c r="H59" s="13"/>
      <c r="I59" s="13"/>
      <c r="J59" s="14"/>
      <c r="K59" s="14"/>
      <c r="L59" s="14"/>
      <c r="M59" s="6"/>
      <c r="O59" s="3"/>
    </row>
    <row r="60" spans="1:25" ht="17.100000000000001" customHeight="1">
      <c r="A60" s="36" t="s">
        <v>59</v>
      </c>
      <c r="B60" s="14"/>
      <c r="C60" s="14"/>
      <c r="D60" s="14"/>
      <c r="E60" s="14"/>
      <c r="F60" s="14"/>
      <c r="G60" s="14"/>
      <c r="H60" s="13"/>
      <c r="I60" s="13"/>
      <c r="J60" s="14"/>
      <c r="K60" s="14"/>
      <c r="L60" s="14"/>
      <c r="M60" s="6"/>
      <c r="R60" s="3"/>
      <c r="U60" s="3"/>
      <c r="X60" s="3"/>
    </row>
    <row r="61" spans="1:25" ht="17.100000000000001" customHeight="1">
      <c r="A61" s="89" t="s">
        <v>98</v>
      </c>
      <c r="B61" s="80"/>
      <c r="C61" s="80"/>
      <c r="D61" s="80"/>
      <c r="E61" s="80"/>
      <c r="F61" s="80"/>
      <c r="G61" s="80"/>
      <c r="H61" s="81"/>
      <c r="I61" s="81"/>
      <c r="J61" s="80"/>
      <c r="K61" s="88"/>
      <c r="L61" s="14"/>
      <c r="M61" s="40"/>
      <c r="R61" s="3"/>
    </row>
    <row r="62" spans="1:25" ht="17.100000000000001" customHeight="1">
      <c r="A62" s="18" t="s">
        <v>22</v>
      </c>
      <c r="B62" s="14" t="s">
        <v>57</v>
      </c>
      <c r="C62" s="18"/>
      <c r="D62" s="18"/>
      <c r="F62" s="80" t="s">
        <v>99</v>
      </c>
      <c r="G62" s="80"/>
      <c r="H62" s="81"/>
      <c r="I62" s="81"/>
      <c r="J62" s="80"/>
      <c r="K62" s="86"/>
      <c r="L62" s="38"/>
      <c r="M62" s="6"/>
      <c r="R62" s="3"/>
    </row>
    <row r="63" spans="1:25" ht="17.100000000000001" customHeight="1">
      <c r="A63" s="18" t="s">
        <v>47</v>
      </c>
      <c r="B63" s="14"/>
      <c r="C63" s="18"/>
      <c r="D63" s="18"/>
      <c r="F63" s="18" t="s">
        <v>67</v>
      </c>
      <c r="G63" s="18"/>
      <c r="H63" s="19"/>
      <c r="I63" s="19"/>
      <c r="J63" s="18"/>
      <c r="K63" s="18"/>
      <c r="L63" s="14"/>
      <c r="M63" s="6"/>
      <c r="R63" s="3"/>
    </row>
    <row r="64" spans="1:25" ht="17.100000000000001" customHeight="1">
      <c r="A64" s="14" t="s">
        <v>23</v>
      </c>
      <c r="F64" s="29" t="s">
        <v>49</v>
      </c>
      <c r="M64" s="8"/>
      <c r="N64" s="8"/>
      <c r="O64" s="8"/>
      <c r="P64" s="8"/>
      <c r="Q64" s="8"/>
      <c r="R64" s="8"/>
      <c r="S64" s="8"/>
      <c r="T64" s="8"/>
      <c r="U64" s="8"/>
      <c r="V64" s="8"/>
      <c r="W64" s="8"/>
      <c r="X64" s="8"/>
      <c r="Y64" s="8"/>
    </row>
    <row r="65" spans="1:25" ht="15" customHeight="1">
      <c r="A65" s="18" t="s">
        <v>69</v>
      </c>
      <c r="B65" s="14"/>
      <c r="D65" s="18"/>
      <c r="E65" s="18"/>
      <c r="F65" s="29" t="s">
        <v>70</v>
      </c>
      <c r="O65" s="23"/>
      <c r="P65" s="90"/>
      <c r="Q65" s="90"/>
      <c r="R65" s="90"/>
      <c r="S65" s="90"/>
      <c r="T65" s="90"/>
      <c r="U65" s="90"/>
      <c r="V65" s="90"/>
      <c r="W65" s="25"/>
      <c r="X65" s="26"/>
      <c r="Y65" s="8"/>
    </row>
    <row r="66" spans="1:25">
      <c r="A66" s="14" t="s">
        <v>81</v>
      </c>
      <c r="D66" s="14"/>
      <c r="E66" s="29"/>
      <c r="F66" s="18" t="s">
        <v>48</v>
      </c>
      <c r="G66" s="39"/>
      <c r="H66" s="18"/>
      <c r="I66" s="30"/>
      <c r="J66" s="30"/>
      <c r="K66" s="30"/>
      <c r="L66" s="30"/>
      <c r="N66" s="27"/>
      <c r="O66" s="27"/>
      <c r="P66" s="27"/>
      <c r="Q66" s="27"/>
      <c r="R66" s="27"/>
      <c r="S66" s="8"/>
      <c r="T66" s="25"/>
      <c r="U66" s="25"/>
      <c r="V66" s="25"/>
      <c r="W66" s="26"/>
      <c r="X66" s="26"/>
      <c r="Y66" s="8"/>
    </row>
    <row r="67" spans="1:25" ht="15" customHeight="1">
      <c r="A67" s="80" t="s">
        <v>94</v>
      </c>
      <c r="B67" s="80"/>
      <c r="C67" s="81"/>
      <c r="D67" s="81"/>
      <c r="E67" s="19"/>
      <c r="F67" s="19"/>
      <c r="G67" s="19"/>
      <c r="H67" s="18"/>
      <c r="I67" s="30"/>
      <c r="J67" s="30"/>
      <c r="K67" s="30"/>
      <c r="L67" s="30"/>
      <c r="Q67" s="8"/>
      <c r="R67" s="24"/>
      <c r="S67" s="24"/>
      <c r="T67" s="24"/>
      <c r="U67" s="24"/>
      <c r="V67" s="24"/>
      <c r="W67" s="24"/>
      <c r="X67" s="24"/>
      <c r="Y67" s="8"/>
    </row>
    <row r="68" spans="1:25" ht="13.8">
      <c r="F68" s="37" t="str">
        <f ca="1">CELL("filename",A2)</f>
        <v>C:\Users\YKoyama\AppData\Local\Box\Box Edit\Documents\tFjN6xd6nkWKQ+EL3nn50g==\[AWPF SCHEDULE_May2023.xlsx]A</v>
      </c>
    </row>
  </sheetData>
  <mergeCells count="2">
    <mergeCell ref="P65:V65"/>
    <mergeCell ref="A1:M1"/>
  </mergeCells>
  <phoneticPr fontId="3" type="noConversion"/>
  <pageMargins left="0.25" right="0.25" top="0.17" bottom="0" header="0.17" footer="0.17"/>
  <pageSetup scale="73" orientation="portrait"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F3202-AD24-4D4E-9A3B-2AD5531EFD85}">
  <dimension ref="A1:M60"/>
  <sheetViews>
    <sheetView tabSelected="1" topLeftCell="A44" workbookViewId="0">
      <selection activeCell="M10" sqref="M10"/>
    </sheetView>
  </sheetViews>
  <sheetFormatPr defaultRowHeight="13.2"/>
  <cols>
    <col min="1" max="1" width="33.33203125" style="119" customWidth="1"/>
  </cols>
  <sheetData>
    <row r="1" spans="1:13" ht="13.8" thickBot="1">
      <c r="A1" s="114"/>
      <c r="B1" s="28" t="s">
        <v>44</v>
      </c>
      <c r="C1" s="28" t="s">
        <v>62</v>
      </c>
      <c r="D1" s="28" t="s">
        <v>84</v>
      </c>
      <c r="E1" s="28" t="s">
        <v>61</v>
      </c>
      <c r="F1" s="28" t="s">
        <v>63</v>
      </c>
      <c r="G1" s="28" t="s">
        <v>91</v>
      </c>
      <c r="H1" s="28" t="s">
        <v>64</v>
      </c>
      <c r="I1" s="28" t="s">
        <v>65</v>
      </c>
      <c r="J1" s="71" t="s">
        <v>83</v>
      </c>
      <c r="K1" s="24" t="s">
        <v>66</v>
      </c>
      <c r="L1" s="31" t="s">
        <v>56</v>
      </c>
      <c r="M1" s="24" t="s">
        <v>103</v>
      </c>
    </row>
    <row r="2" spans="1:13" ht="15.6">
      <c r="A2" s="115" t="s">
        <v>0</v>
      </c>
      <c r="B2" s="64" t="s">
        <v>76</v>
      </c>
      <c r="C2" s="61" t="s">
        <v>35</v>
      </c>
      <c r="D2" s="11" t="s">
        <v>38</v>
      </c>
      <c r="E2" s="10"/>
      <c r="F2" s="12" t="s">
        <v>75</v>
      </c>
      <c r="G2" s="58" t="s">
        <v>75</v>
      </c>
      <c r="H2" s="10"/>
      <c r="I2" s="10"/>
      <c r="J2" s="72"/>
      <c r="K2" s="73" t="s">
        <v>35</v>
      </c>
      <c r="L2" s="74" t="s">
        <v>77</v>
      </c>
      <c r="M2" t="str">
        <f>_xlfn.XLOOKUP(A2,'Method list'!$C$3:$C$132,'Method list'!$B$3:$B$132)</f>
        <v>2510B</v>
      </c>
    </row>
    <row r="3" spans="1:13" ht="15.6">
      <c r="A3" s="116" t="s">
        <v>1</v>
      </c>
      <c r="B3" s="65" t="s">
        <v>2</v>
      </c>
      <c r="C3" s="48"/>
      <c r="D3" s="16"/>
      <c r="E3" s="15"/>
      <c r="F3" s="17" t="s">
        <v>3</v>
      </c>
      <c r="G3" s="50" t="s">
        <v>3</v>
      </c>
      <c r="H3" s="15" t="s">
        <v>3</v>
      </c>
      <c r="I3" s="15"/>
      <c r="J3" s="43"/>
      <c r="K3" s="15"/>
      <c r="L3" s="42" t="s">
        <v>3</v>
      </c>
      <c r="M3" t="str">
        <f>_xlfn.XLOOKUP(A3,'Method list'!$C$3:$C$132,'Method list'!$B$3:$B$132)</f>
        <v>2540C</v>
      </c>
    </row>
    <row r="4" spans="1:13" ht="15.6">
      <c r="A4" s="115" t="s">
        <v>4</v>
      </c>
      <c r="B4" s="46" t="s">
        <v>3</v>
      </c>
      <c r="C4" s="20" t="s">
        <v>78</v>
      </c>
      <c r="D4" s="10" t="s">
        <v>3</v>
      </c>
      <c r="E4" s="10"/>
      <c r="F4" s="12" t="s">
        <v>75</v>
      </c>
      <c r="G4" s="58" t="s">
        <v>75</v>
      </c>
      <c r="H4" s="10" t="s">
        <v>18</v>
      </c>
      <c r="I4" s="10"/>
      <c r="J4" s="9" t="s">
        <v>3</v>
      </c>
      <c r="K4" s="10" t="s">
        <v>35</v>
      </c>
      <c r="L4" s="11" t="s">
        <v>80</v>
      </c>
      <c r="M4" t="str">
        <f>_xlfn.XLOOKUP(A4,'Method list'!$C$3:$C$132,'Method list'!$B$3:$B$132)</f>
        <v>4500H+B</v>
      </c>
    </row>
    <row r="5" spans="1:13" ht="15.6">
      <c r="A5" s="116" t="s">
        <v>5</v>
      </c>
      <c r="B5" s="65" t="s">
        <v>6</v>
      </c>
      <c r="C5" s="21"/>
      <c r="D5" s="15"/>
      <c r="E5" s="15"/>
      <c r="F5" s="17" t="s">
        <v>18</v>
      </c>
      <c r="G5" s="50" t="s">
        <v>18</v>
      </c>
      <c r="H5" s="15" t="s">
        <v>18</v>
      </c>
      <c r="I5" s="15"/>
      <c r="J5" s="43"/>
      <c r="K5" s="15"/>
      <c r="L5" s="42" t="s">
        <v>18</v>
      </c>
      <c r="M5" t="str">
        <f>_xlfn.XLOOKUP(A5,'Method list'!$C$3:$C$132,'Method list'!$B$3:$B$132)</f>
        <v>X200.7</v>
      </c>
    </row>
    <row r="6" spans="1:13" ht="15.6">
      <c r="A6" s="115" t="s">
        <v>54</v>
      </c>
      <c r="B6" s="66" t="s">
        <v>6</v>
      </c>
      <c r="C6" s="20"/>
      <c r="D6" s="10"/>
      <c r="E6" s="10"/>
      <c r="F6" s="10" t="s">
        <v>18</v>
      </c>
      <c r="G6" s="10" t="s">
        <v>18</v>
      </c>
      <c r="H6" s="10" t="s">
        <v>18</v>
      </c>
      <c r="I6" s="10"/>
      <c r="J6" s="9"/>
      <c r="K6" s="10"/>
      <c r="L6" s="10" t="s">
        <v>18</v>
      </c>
      <c r="M6" t="s">
        <v>132</v>
      </c>
    </row>
    <row r="7" spans="1:13" ht="15.6">
      <c r="A7" s="116" t="s">
        <v>7</v>
      </c>
      <c r="B7" s="65" t="s">
        <v>6</v>
      </c>
      <c r="C7" s="21"/>
      <c r="D7" s="15"/>
      <c r="E7" s="15"/>
      <c r="F7" s="15" t="s">
        <v>18</v>
      </c>
      <c r="G7" s="15" t="s">
        <v>18</v>
      </c>
      <c r="H7" s="15" t="s">
        <v>18</v>
      </c>
      <c r="I7" s="15"/>
      <c r="J7" s="43"/>
      <c r="K7" s="15"/>
      <c r="L7" s="15" t="s">
        <v>3</v>
      </c>
      <c r="M7" t="str">
        <f>_xlfn.XLOOKUP(A7,'Method list'!$C$3:$C$132,'Method list'!$B$3:$B$132)</f>
        <v>X200.7</v>
      </c>
    </row>
    <row r="8" spans="1:13" ht="15.6">
      <c r="A8" s="115" t="s">
        <v>53</v>
      </c>
      <c r="B8" s="46"/>
      <c r="C8" s="20"/>
      <c r="D8" s="10"/>
      <c r="E8" s="10"/>
      <c r="F8" s="10"/>
      <c r="G8" s="10"/>
      <c r="H8" s="10"/>
      <c r="I8" s="12"/>
      <c r="J8" s="46"/>
      <c r="K8" s="20" t="s">
        <v>3</v>
      </c>
      <c r="L8" s="10" t="s">
        <v>3</v>
      </c>
      <c r="M8" t="s">
        <v>387</v>
      </c>
    </row>
    <row r="9" spans="1:13" ht="15.6">
      <c r="A9" s="116" t="s">
        <v>34</v>
      </c>
      <c r="B9" s="65" t="s">
        <v>6</v>
      </c>
      <c r="C9" s="21"/>
      <c r="D9" s="15"/>
      <c r="E9" s="15"/>
      <c r="F9" s="15" t="s">
        <v>18</v>
      </c>
      <c r="G9" s="15" t="s">
        <v>18</v>
      </c>
      <c r="H9" s="15" t="s">
        <v>18</v>
      </c>
      <c r="I9" s="17"/>
      <c r="J9" s="47"/>
      <c r="K9" s="21"/>
      <c r="L9" s="15" t="s">
        <v>87</v>
      </c>
      <c r="M9" t="str">
        <f>_xlfn.XLOOKUP(A9,'Method list'!$C$3:$C$132,'Method list'!$B$3:$B$132)</f>
        <v>X200.7</v>
      </c>
    </row>
    <row r="10" spans="1:13" ht="15.6">
      <c r="A10" s="115" t="s">
        <v>55</v>
      </c>
      <c r="B10" s="66" t="s">
        <v>6</v>
      </c>
      <c r="C10" s="20"/>
      <c r="D10" s="10"/>
      <c r="E10" s="10"/>
      <c r="F10" s="10" t="s">
        <v>18</v>
      </c>
      <c r="G10" s="10" t="s">
        <v>18</v>
      </c>
      <c r="H10" s="10" t="s">
        <v>18</v>
      </c>
      <c r="I10" s="12"/>
      <c r="J10" s="46"/>
      <c r="K10" s="20"/>
      <c r="L10" s="87" t="s">
        <v>97</v>
      </c>
      <c r="M10" t="str">
        <f>_xlfn.XLOOKUP(A10,'Method list'!$C$3:$C$132,'Method list'!$B$3:$B$132)</f>
        <v>X200.8</v>
      </c>
    </row>
    <row r="11" spans="1:13" ht="18">
      <c r="A11" s="116" t="s">
        <v>40</v>
      </c>
      <c r="B11" s="65" t="s">
        <v>6</v>
      </c>
      <c r="C11" s="21"/>
      <c r="D11" s="15"/>
      <c r="E11" s="15"/>
      <c r="F11" s="15" t="s">
        <v>18</v>
      </c>
      <c r="G11" s="15" t="s">
        <v>18</v>
      </c>
      <c r="H11" s="15" t="s">
        <v>18</v>
      </c>
      <c r="I11" s="17"/>
      <c r="J11" s="47"/>
      <c r="K11" s="45"/>
      <c r="L11" s="42" t="s">
        <v>38</v>
      </c>
      <c r="M11" t="s">
        <v>387</v>
      </c>
    </row>
    <row r="12" spans="1:13" ht="18">
      <c r="A12" s="115" t="s">
        <v>41</v>
      </c>
      <c r="B12" s="46"/>
      <c r="C12" s="20"/>
      <c r="D12" s="10"/>
      <c r="E12" s="10"/>
      <c r="F12" s="10"/>
      <c r="G12" s="10"/>
      <c r="H12" s="10"/>
      <c r="I12" s="12"/>
      <c r="J12" s="46"/>
      <c r="K12" s="20"/>
      <c r="L12" s="11" t="s">
        <v>38</v>
      </c>
      <c r="M12" t="s">
        <v>387</v>
      </c>
    </row>
    <row r="13" spans="1:13" ht="15.6">
      <c r="A13" s="116" t="s">
        <v>73</v>
      </c>
      <c r="B13" s="67"/>
      <c r="C13" s="21"/>
      <c r="D13" s="15"/>
      <c r="E13" s="15"/>
      <c r="F13" s="16" t="s">
        <v>38</v>
      </c>
      <c r="G13" s="16" t="s">
        <v>38</v>
      </c>
      <c r="H13" s="15"/>
      <c r="I13" s="17"/>
      <c r="J13" s="47"/>
      <c r="K13" s="21"/>
      <c r="L13" s="16" t="s">
        <v>38</v>
      </c>
      <c r="M13" t="s">
        <v>387</v>
      </c>
    </row>
    <row r="14" spans="1:13" ht="18">
      <c r="A14" s="115" t="s">
        <v>89</v>
      </c>
      <c r="B14" s="46" t="s">
        <v>3</v>
      </c>
      <c r="C14" s="20"/>
      <c r="D14" s="10"/>
      <c r="E14" s="10"/>
      <c r="F14" s="10"/>
      <c r="G14" s="20" t="s">
        <v>3</v>
      </c>
      <c r="H14" s="11"/>
      <c r="I14" s="32"/>
      <c r="J14" s="46"/>
      <c r="K14" s="9"/>
      <c r="L14" s="11" t="s">
        <v>51</v>
      </c>
      <c r="M14" t="str">
        <f>_xlfn.XLOOKUP(A14,'Method list'!$C$3:$C$132,'Method list'!$B$3:$B$132)</f>
        <v>4500NH3H</v>
      </c>
    </row>
    <row r="15" spans="1:13" ht="15.6">
      <c r="A15" s="116" t="s">
        <v>90</v>
      </c>
      <c r="B15" s="67" t="s">
        <v>3</v>
      </c>
      <c r="C15" s="21"/>
      <c r="D15" s="15"/>
      <c r="E15" s="15"/>
      <c r="F15" s="49"/>
      <c r="G15" s="21" t="s">
        <v>3</v>
      </c>
      <c r="H15" s="16"/>
      <c r="I15" s="44"/>
      <c r="J15" s="47"/>
      <c r="K15" s="43"/>
      <c r="L15" s="16" t="s">
        <v>51</v>
      </c>
      <c r="M15" t="s">
        <v>387</v>
      </c>
    </row>
    <row r="16" spans="1:13" ht="15.6">
      <c r="A16" s="115" t="s">
        <v>24</v>
      </c>
      <c r="B16" s="65" t="s">
        <v>6</v>
      </c>
      <c r="C16" s="20"/>
      <c r="D16" s="10"/>
      <c r="E16" s="10"/>
      <c r="F16" s="10" t="s">
        <v>18</v>
      </c>
      <c r="G16" s="20" t="s">
        <v>18</v>
      </c>
      <c r="H16" s="10"/>
      <c r="I16" s="12"/>
      <c r="J16" s="46"/>
      <c r="K16" s="9"/>
      <c r="L16" s="10" t="s">
        <v>3</v>
      </c>
      <c r="M16" t="s">
        <v>122</v>
      </c>
    </row>
    <row r="17" spans="1:13" ht="18">
      <c r="A17" s="116" t="s">
        <v>27</v>
      </c>
      <c r="B17" s="66"/>
      <c r="C17" s="21"/>
      <c r="D17" s="15"/>
      <c r="E17" s="15"/>
      <c r="F17" s="15" t="s">
        <v>18</v>
      </c>
      <c r="G17" s="21" t="s">
        <v>18</v>
      </c>
      <c r="H17" s="15"/>
      <c r="I17" s="17"/>
      <c r="J17" s="47"/>
      <c r="K17" s="43"/>
      <c r="L17" s="15" t="s">
        <v>18</v>
      </c>
      <c r="M17" t="s">
        <v>387</v>
      </c>
    </row>
    <row r="18" spans="1:13" ht="15.6">
      <c r="A18" s="115" t="s">
        <v>9</v>
      </c>
      <c r="B18" s="65" t="s">
        <v>6</v>
      </c>
      <c r="C18" s="20"/>
      <c r="D18" s="10"/>
      <c r="E18" s="10"/>
      <c r="F18" s="10" t="s">
        <v>18</v>
      </c>
      <c r="G18" s="20" t="s">
        <v>18</v>
      </c>
      <c r="H18" s="10" t="s">
        <v>18</v>
      </c>
      <c r="I18" s="12"/>
      <c r="J18" s="46"/>
      <c r="K18" s="20"/>
      <c r="L18" s="11" t="s">
        <v>18</v>
      </c>
      <c r="M18" t="s">
        <v>387</v>
      </c>
    </row>
    <row r="19" spans="1:13" ht="15.6">
      <c r="A19" s="116" t="s">
        <v>10</v>
      </c>
      <c r="B19" s="66" t="s">
        <v>6</v>
      </c>
      <c r="C19" s="21"/>
      <c r="D19" s="15"/>
      <c r="E19" s="15"/>
      <c r="F19" s="15"/>
      <c r="G19" s="21"/>
      <c r="H19" s="15"/>
      <c r="I19" s="15"/>
      <c r="J19" s="15"/>
      <c r="K19" s="15"/>
      <c r="L19" s="16" t="s">
        <v>38</v>
      </c>
      <c r="M19" t="str">
        <f>_xlfn.XLOOKUP(A19,'Method list'!$C$3:$C$132,'Method list'!$B$3:$B$132)</f>
        <v>X1-300.0</v>
      </c>
    </row>
    <row r="20" spans="1:13" ht="15.6">
      <c r="A20" s="115" t="s">
        <v>11</v>
      </c>
      <c r="B20" s="65" t="s">
        <v>6</v>
      </c>
      <c r="C20" s="20"/>
      <c r="D20" s="12"/>
      <c r="E20" s="10"/>
      <c r="F20" s="10" t="s">
        <v>18</v>
      </c>
      <c r="G20" s="20" t="s">
        <v>18</v>
      </c>
      <c r="H20" s="10"/>
      <c r="I20" s="10"/>
      <c r="J20" s="9" t="s">
        <v>18</v>
      </c>
      <c r="K20" s="10"/>
      <c r="L20" s="11" t="s">
        <v>18</v>
      </c>
      <c r="M20" t="str">
        <f>_xlfn.XLOOKUP(A20,'Method list'!$C$3:$C$132,'Method list'!$B$3:$B$132)</f>
        <v>X1-300.0</v>
      </c>
    </row>
    <row r="21" spans="1:13" ht="15.6">
      <c r="A21" s="116" t="s">
        <v>12</v>
      </c>
      <c r="B21" s="66"/>
      <c r="C21" s="21"/>
      <c r="D21" s="17"/>
      <c r="E21" s="15"/>
      <c r="F21" s="16"/>
      <c r="G21" s="48"/>
      <c r="H21" s="16"/>
      <c r="I21" s="16"/>
      <c r="J21" s="15"/>
      <c r="K21" s="15"/>
      <c r="L21" s="15" t="s">
        <v>18</v>
      </c>
      <c r="M21" t="str">
        <f>_xlfn.XLOOKUP(A21,'Method list'!$C$3:$C$132,'Method list'!$B$3:$B$132)</f>
        <v>300.1B</v>
      </c>
    </row>
    <row r="22" spans="1:13" ht="18">
      <c r="A22" s="115" t="s">
        <v>36</v>
      </c>
      <c r="B22" s="46" t="s">
        <v>3</v>
      </c>
      <c r="C22" s="20"/>
      <c r="D22" s="12"/>
      <c r="E22" s="10"/>
      <c r="F22" s="10"/>
      <c r="G22" s="20" t="s">
        <v>2</v>
      </c>
      <c r="H22" s="11"/>
      <c r="I22" s="11"/>
      <c r="J22" s="9"/>
      <c r="K22" s="10"/>
      <c r="L22" s="11" t="s">
        <v>51</v>
      </c>
      <c r="M22" t="str">
        <f>_xlfn.XLOOKUP(A22,'Method list'!$C$3:$C$132,'Method list'!$B$3:$B$132)</f>
        <v>4500NO3F</v>
      </c>
    </row>
    <row r="23" spans="1:13" ht="18">
      <c r="A23" s="116" t="s">
        <v>42</v>
      </c>
      <c r="B23" s="47" t="s">
        <v>3</v>
      </c>
      <c r="C23" s="21"/>
      <c r="D23" s="17"/>
      <c r="E23" s="15"/>
      <c r="F23" s="49"/>
      <c r="G23" s="21" t="s">
        <v>2</v>
      </c>
      <c r="H23" s="16"/>
      <c r="I23" s="16"/>
      <c r="J23" s="43"/>
      <c r="K23" s="15"/>
      <c r="L23" s="16" t="s">
        <v>51</v>
      </c>
      <c r="M23" t="str">
        <f>_xlfn.XLOOKUP(A23,'Method list'!$C$3:$C$132,'Method list'!$B$3:$B$132)</f>
        <v>4500NO3F</v>
      </c>
    </row>
    <row r="24" spans="1:13" ht="18">
      <c r="A24" s="115" t="s">
        <v>28</v>
      </c>
      <c r="B24" s="46" t="s">
        <v>3</v>
      </c>
      <c r="C24" s="20"/>
      <c r="D24" s="12"/>
      <c r="E24" s="10"/>
      <c r="F24" s="10"/>
      <c r="G24" s="20" t="s">
        <v>8</v>
      </c>
      <c r="H24" s="11"/>
      <c r="I24" s="11"/>
      <c r="J24" s="9"/>
      <c r="K24" s="10"/>
      <c r="L24" s="11" t="s">
        <v>51</v>
      </c>
      <c r="M24" t="e">
        <f>_xlfn.XLOOKUP(A24,'Method list'!$C$3:$C$132,'Method list'!$B$3:$B$132)</f>
        <v>#N/A</v>
      </c>
    </row>
    <row r="25" spans="1:13" ht="15.6">
      <c r="A25" s="117" t="s">
        <v>93</v>
      </c>
      <c r="B25" s="67"/>
      <c r="C25" s="21"/>
      <c r="D25" s="17"/>
      <c r="E25" s="15"/>
      <c r="F25" s="15"/>
      <c r="G25" s="48"/>
      <c r="H25" s="16"/>
      <c r="I25" s="16"/>
      <c r="J25" s="15"/>
      <c r="K25" s="15"/>
      <c r="L25" s="83" t="s">
        <v>51</v>
      </c>
      <c r="M25" t="s">
        <v>201</v>
      </c>
    </row>
    <row r="26" spans="1:13" ht="18">
      <c r="A26" s="115" t="s">
        <v>29</v>
      </c>
      <c r="B26" s="65" t="s">
        <v>2</v>
      </c>
      <c r="C26" s="20"/>
      <c r="D26" s="12"/>
      <c r="E26" s="10"/>
      <c r="F26" s="10"/>
      <c r="G26" s="20"/>
      <c r="H26" s="10" t="s">
        <v>3</v>
      </c>
      <c r="I26" s="10"/>
      <c r="J26" s="10"/>
      <c r="K26" s="10"/>
      <c r="L26" s="10" t="s">
        <v>38</v>
      </c>
      <c r="M26">
        <v>365.1</v>
      </c>
    </row>
    <row r="27" spans="1:13" ht="18">
      <c r="A27" s="116" t="s">
        <v>30</v>
      </c>
      <c r="B27" s="66" t="s">
        <v>6</v>
      </c>
      <c r="C27" s="21"/>
      <c r="D27" s="17"/>
      <c r="E27" s="15"/>
      <c r="F27" s="15" t="s">
        <v>18</v>
      </c>
      <c r="G27" s="21" t="s">
        <v>18</v>
      </c>
      <c r="H27" s="15" t="s">
        <v>18</v>
      </c>
      <c r="I27" s="15"/>
      <c r="J27" s="43"/>
      <c r="K27" s="15"/>
      <c r="L27" s="16" t="s">
        <v>18</v>
      </c>
      <c r="M27" t="str">
        <f>_xlfn.XLOOKUP(A27,'Method list'!$C$3:$C$132,'Method list'!$B$3:$B$132)</f>
        <v>X1-300.0</v>
      </c>
    </row>
    <row r="28" spans="1:13" ht="15.6">
      <c r="A28" s="115" t="s">
        <v>13</v>
      </c>
      <c r="B28" s="65" t="s">
        <v>6</v>
      </c>
      <c r="C28" s="20"/>
      <c r="D28" s="12"/>
      <c r="E28" s="10"/>
      <c r="F28" s="10" t="s">
        <v>18</v>
      </c>
      <c r="G28" s="9" t="s">
        <v>18</v>
      </c>
      <c r="H28" s="10"/>
      <c r="I28" s="10"/>
      <c r="J28" s="9"/>
      <c r="K28" s="10"/>
      <c r="L28" s="11" t="s">
        <v>38</v>
      </c>
      <c r="M28" t="str">
        <f>_xlfn.XLOOKUP(A28,'Method list'!$C$3:$C$132,'Method list'!$B$3:$B$132)</f>
        <v>X200.7</v>
      </c>
    </row>
    <row r="29" spans="1:13" ht="18">
      <c r="A29" s="116" t="s">
        <v>31</v>
      </c>
      <c r="B29" s="66" t="s">
        <v>6</v>
      </c>
      <c r="C29" s="21"/>
      <c r="D29" s="17"/>
      <c r="E29" s="15"/>
      <c r="F29" s="15" t="s">
        <v>18</v>
      </c>
      <c r="G29" s="21" t="s">
        <v>18</v>
      </c>
      <c r="H29" s="15" t="s">
        <v>18</v>
      </c>
      <c r="I29" s="15"/>
      <c r="J29" s="43"/>
      <c r="K29" s="15"/>
      <c r="L29" s="15" t="s">
        <v>38</v>
      </c>
      <c r="M29" t="str">
        <f>_xlfn.XLOOKUP(A29,'Method list'!$C$3:$C$132,'Method list'!$B$3:$B$132)</f>
        <v>4500SIOC</v>
      </c>
    </row>
    <row r="30" spans="1:13" ht="15.6">
      <c r="A30" s="115" t="s">
        <v>45</v>
      </c>
      <c r="B30" s="68" t="s">
        <v>21</v>
      </c>
      <c r="C30" s="20"/>
      <c r="D30" s="12"/>
      <c r="E30" s="10"/>
      <c r="F30" s="10"/>
      <c r="G30" s="20"/>
      <c r="H30" s="10"/>
      <c r="I30" s="10"/>
      <c r="J30" s="11"/>
      <c r="K30" s="11"/>
      <c r="L30" s="11" t="s">
        <v>6</v>
      </c>
      <c r="M30" t="e">
        <f>_xlfn.XLOOKUP(A30,'Method list'!$C$3:$C$132,'Method list'!$B$3:$B$132)</f>
        <v>#N/A</v>
      </c>
    </row>
    <row r="31" spans="1:13" ht="15.6">
      <c r="A31" s="116" t="s">
        <v>52</v>
      </c>
      <c r="B31" s="67"/>
      <c r="C31" s="21"/>
      <c r="D31" s="17"/>
      <c r="E31" s="15"/>
      <c r="F31" s="15"/>
      <c r="G31" s="21"/>
      <c r="H31" s="15"/>
      <c r="I31" s="15"/>
      <c r="J31" s="15"/>
      <c r="K31" s="15"/>
      <c r="L31" s="16" t="s">
        <v>38</v>
      </c>
      <c r="M31" t="e">
        <f>_xlfn.XLOOKUP(A31,'Method list'!$C$3:$C$132,'Method list'!$B$3:$B$132)</f>
        <v>#N/A</v>
      </c>
    </row>
    <row r="32" spans="1:13" ht="15.6">
      <c r="A32" s="118" t="s">
        <v>86</v>
      </c>
      <c r="B32" s="69"/>
      <c r="C32" s="57"/>
      <c r="D32" s="56"/>
      <c r="E32" s="55"/>
      <c r="F32" s="55"/>
      <c r="G32" s="54"/>
      <c r="H32" s="55"/>
      <c r="I32" s="57"/>
      <c r="J32" s="57"/>
      <c r="K32" s="57"/>
      <c r="L32" s="11" t="s">
        <v>38</v>
      </c>
      <c r="M32" t="str">
        <f>_xlfn.XLOOKUP(A32,'Method list'!$C$3:$C$132,'Method list'!$B$3:$B$132)</f>
        <v>5310C</v>
      </c>
    </row>
    <row r="33" spans="1:13" ht="15.6">
      <c r="A33" s="116" t="s">
        <v>14</v>
      </c>
      <c r="B33" s="67" t="s">
        <v>50</v>
      </c>
      <c r="C33" s="21" t="s">
        <v>3</v>
      </c>
      <c r="D33" s="17"/>
      <c r="E33" s="15"/>
      <c r="F33" s="15" t="s">
        <v>74</v>
      </c>
      <c r="G33" s="21" t="s">
        <v>74</v>
      </c>
      <c r="H33" s="15"/>
      <c r="I33" s="15"/>
      <c r="J33" s="43"/>
      <c r="K33" s="15"/>
      <c r="L33" s="83" t="s">
        <v>100</v>
      </c>
      <c r="M33" t="str">
        <f>_xlfn.XLOOKUP(A33,'Method list'!$C$3:$C$132,'Method list'!$B$3:$B$132)</f>
        <v>5310C</v>
      </c>
    </row>
    <row r="34" spans="1:13" ht="15.6">
      <c r="A34" s="115" t="s">
        <v>85</v>
      </c>
      <c r="B34" s="46"/>
      <c r="C34" s="20"/>
      <c r="D34" s="10" t="s">
        <v>18</v>
      </c>
      <c r="E34" s="10"/>
      <c r="F34" s="11"/>
      <c r="G34" s="9"/>
      <c r="H34" s="11"/>
      <c r="I34" s="24" t="s">
        <v>74</v>
      </c>
      <c r="J34" s="10"/>
      <c r="K34" s="10"/>
      <c r="L34" s="11" t="s">
        <v>38</v>
      </c>
      <c r="M34" t="e">
        <f>_xlfn.XLOOKUP(A34,'Method list'!$C$3:$C$132,'Method list'!$B$3:$B$132)</f>
        <v>#N/A</v>
      </c>
    </row>
    <row r="35" spans="1:13" ht="15.6">
      <c r="A35" s="116" t="s">
        <v>15</v>
      </c>
      <c r="B35" s="67" t="s">
        <v>6</v>
      </c>
      <c r="C35" s="21"/>
      <c r="D35" s="17"/>
      <c r="E35" s="15"/>
      <c r="F35" s="15" t="s">
        <v>6</v>
      </c>
      <c r="G35" s="21" t="s">
        <v>6</v>
      </c>
      <c r="H35" s="15"/>
      <c r="I35" s="15"/>
      <c r="J35" s="43"/>
      <c r="K35" s="15"/>
      <c r="L35" s="83" t="s">
        <v>95</v>
      </c>
      <c r="M35" t="str">
        <f>_xlfn.XLOOKUP(A35,'Method list'!$C$3:$C$132,'Method list'!$B$3:$B$132)</f>
        <v>5540C</v>
      </c>
    </row>
    <row r="36" spans="1:13" ht="15.6">
      <c r="A36" s="115" t="s">
        <v>26</v>
      </c>
      <c r="B36" s="68" t="s">
        <v>21</v>
      </c>
      <c r="C36" s="20" t="s">
        <v>3</v>
      </c>
      <c r="D36" s="10" t="s">
        <v>3</v>
      </c>
      <c r="E36" s="9" t="s">
        <v>18</v>
      </c>
      <c r="F36" s="10"/>
      <c r="G36" s="20"/>
      <c r="H36" s="10"/>
      <c r="I36" s="10"/>
      <c r="J36" s="10"/>
      <c r="K36" s="10"/>
      <c r="L36" s="87" t="s">
        <v>96</v>
      </c>
      <c r="M36" t="e">
        <f>_xlfn.XLOOKUP(A36,'Method list'!$C$3:$C$132,'Method list'!$B$3:$B$132)</f>
        <v>#N/A</v>
      </c>
    </row>
    <row r="37" spans="1:13" ht="15.6">
      <c r="A37" s="116" t="s">
        <v>16</v>
      </c>
      <c r="B37" s="67" t="s">
        <v>6</v>
      </c>
      <c r="C37" s="21"/>
      <c r="D37" s="17"/>
      <c r="E37" s="15"/>
      <c r="F37" s="15" t="s">
        <v>6</v>
      </c>
      <c r="G37" s="21" t="s">
        <v>6</v>
      </c>
      <c r="H37" s="15"/>
      <c r="I37" s="15"/>
      <c r="J37" s="43"/>
      <c r="K37" s="15"/>
      <c r="L37" s="83" t="s">
        <v>95</v>
      </c>
      <c r="M37" t="e">
        <f>_xlfn.XLOOKUP(A37,'Method list'!$C$3:$C$132,'Method list'!$B$3:$B$132)</f>
        <v>#N/A</v>
      </c>
    </row>
    <row r="38" spans="1:13" ht="15.6">
      <c r="A38" s="115" t="s">
        <v>17</v>
      </c>
      <c r="B38" s="46" t="s">
        <v>18</v>
      </c>
      <c r="C38" s="20"/>
      <c r="D38" s="10"/>
      <c r="E38" s="10"/>
      <c r="F38" s="10" t="s">
        <v>18</v>
      </c>
      <c r="G38" s="20" t="s">
        <v>18</v>
      </c>
      <c r="H38" s="10"/>
      <c r="I38" s="10"/>
      <c r="J38" s="10"/>
      <c r="K38" s="10"/>
      <c r="L38" s="11" t="s">
        <v>38</v>
      </c>
      <c r="M38" t="str">
        <f>_xlfn.XLOOKUP(A38,'Method list'!$C$3:$C$132,'Method list'!$B$3:$B$132)</f>
        <v>X1-335.4</v>
      </c>
    </row>
    <row r="39" spans="1:13" ht="18">
      <c r="A39" s="116" t="s">
        <v>32</v>
      </c>
      <c r="B39" s="67"/>
      <c r="C39" s="21" t="s">
        <v>75</v>
      </c>
      <c r="D39" s="17" t="s">
        <v>75</v>
      </c>
      <c r="E39" s="15"/>
      <c r="F39" s="15" t="s">
        <v>75</v>
      </c>
      <c r="G39" s="21" t="s">
        <v>75</v>
      </c>
      <c r="H39" s="15"/>
      <c r="I39" s="15" t="s">
        <v>35</v>
      </c>
      <c r="J39" s="43"/>
      <c r="K39" s="15"/>
      <c r="L39" s="15" t="s">
        <v>38</v>
      </c>
    </row>
    <row r="40" spans="1:13" ht="15.6">
      <c r="A40" s="115" t="s">
        <v>25</v>
      </c>
      <c r="B40" s="46" t="s">
        <v>3</v>
      </c>
      <c r="C40" s="62" t="s">
        <v>3</v>
      </c>
      <c r="D40" s="9" t="s">
        <v>3</v>
      </c>
      <c r="E40" s="10"/>
      <c r="F40" s="10"/>
      <c r="G40" s="9" t="s">
        <v>3</v>
      </c>
      <c r="H40" s="11"/>
      <c r="I40" s="11"/>
      <c r="J40" s="9"/>
      <c r="K40" s="10"/>
      <c r="L40" s="11" t="s">
        <v>39</v>
      </c>
    </row>
    <row r="41" spans="1:13" ht="15.6">
      <c r="A41" s="116" t="s">
        <v>71</v>
      </c>
      <c r="B41" s="67" t="s">
        <v>3</v>
      </c>
      <c r="C41" s="21" t="s">
        <v>3</v>
      </c>
      <c r="D41" s="17" t="s">
        <v>3</v>
      </c>
      <c r="E41" s="15"/>
      <c r="F41" s="15"/>
      <c r="G41" s="21" t="s">
        <v>3</v>
      </c>
      <c r="H41" s="15"/>
      <c r="I41" s="15"/>
      <c r="J41" s="43"/>
      <c r="K41" s="15"/>
      <c r="L41" s="15" t="s">
        <v>39</v>
      </c>
    </row>
    <row r="42" spans="1:13" ht="15.6">
      <c r="A42" s="115" t="s">
        <v>19</v>
      </c>
      <c r="B42" s="46" t="s">
        <v>3</v>
      </c>
      <c r="C42" s="62" t="s">
        <v>35</v>
      </c>
      <c r="D42" s="9" t="s">
        <v>75</v>
      </c>
      <c r="E42" s="10"/>
      <c r="F42" s="10" t="s">
        <v>35</v>
      </c>
      <c r="G42" s="11" t="s">
        <v>35</v>
      </c>
      <c r="H42" s="10"/>
      <c r="I42" s="10"/>
      <c r="J42" s="9"/>
      <c r="K42" s="10"/>
      <c r="L42" s="11" t="s">
        <v>35</v>
      </c>
    </row>
    <row r="43" spans="1:13" ht="15.6">
      <c r="A43" s="116" t="s">
        <v>20</v>
      </c>
      <c r="B43" s="67"/>
      <c r="C43" s="21"/>
      <c r="D43" s="17"/>
      <c r="E43" s="15"/>
      <c r="F43" s="15"/>
      <c r="G43" s="21"/>
      <c r="H43" s="15"/>
      <c r="I43" s="15"/>
      <c r="J43" s="15"/>
      <c r="K43" s="15"/>
      <c r="L43" s="16" t="s">
        <v>38</v>
      </c>
    </row>
    <row r="44" spans="1:13" ht="18">
      <c r="A44" s="115" t="s">
        <v>33</v>
      </c>
      <c r="B44" s="46"/>
      <c r="C44" s="20"/>
      <c r="D44" s="10"/>
      <c r="E44" s="10"/>
      <c r="F44" s="10"/>
      <c r="G44" s="10"/>
      <c r="H44" s="10"/>
      <c r="I44" s="20"/>
      <c r="J44" s="10"/>
      <c r="K44" s="10"/>
      <c r="L44" s="11" t="s">
        <v>38</v>
      </c>
      <c r="M44">
        <f>_xlfn.XLOOKUP(A44,'Method list'!$C$3:$C$132,'Method list'!$B$3:$B$132)</f>
        <v>332</v>
      </c>
    </row>
    <row r="45" spans="1:13" ht="15.6">
      <c r="A45" s="116" t="s">
        <v>79</v>
      </c>
      <c r="B45" s="67" t="s">
        <v>3</v>
      </c>
      <c r="C45" s="21"/>
      <c r="D45" s="17"/>
      <c r="E45" s="15"/>
      <c r="F45" s="15" t="s">
        <v>3</v>
      </c>
      <c r="G45" s="21" t="s">
        <v>3</v>
      </c>
      <c r="H45" s="15"/>
      <c r="I45" s="15" t="s">
        <v>3</v>
      </c>
      <c r="J45" s="43" t="s">
        <v>3</v>
      </c>
      <c r="K45" s="15"/>
      <c r="L45" s="83" t="s">
        <v>38</v>
      </c>
    </row>
    <row r="46" spans="1:13" ht="15.6">
      <c r="A46" s="115" t="s">
        <v>60</v>
      </c>
      <c r="B46" s="70"/>
      <c r="C46" s="51"/>
      <c r="D46" s="34"/>
      <c r="E46" s="34"/>
      <c r="F46" s="34"/>
      <c r="G46" s="34"/>
      <c r="H46" s="34"/>
      <c r="I46" s="34"/>
      <c r="J46" s="10"/>
      <c r="K46" s="10"/>
      <c r="L46" s="11" t="s">
        <v>38</v>
      </c>
    </row>
    <row r="47" spans="1:13" ht="15.6">
      <c r="A47" s="116" t="s">
        <v>58</v>
      </c>
      <c r="B47" s="67"/>
      <c r="C47" s="21"/>
      <c r="D47" s="17"/>
      <c r="E47" s="15"/>
      <c r="F47" s="15"/>
      <c r="G47" s="21"/>
      <c r="H47" s="15"/>
      <c r="I47" s="15"/>
      <c r="J47" s="43"/>
      <c r="K47" s="15"/>
      <c r="L47" s="15"/>
    </row>
    <row r="48" spans="1:13" ht="15.6">
      <c r="A48" s="115" t="s">
        <v>43</v>
      </c>
      <c r="B48" s="70"/>
      <c r="C48" s="51"/>
      <c r="D48" s="34"/>
      <c r="E48" s="8"/>
      <c r="F48" s="34"/>
      <c r="G48" s="8"/>
      <c r="H48" s="34"/>
      <c r="I48" s="51"/>
      <c r="J48" s="52"/>
      <c r="K48" s="52"/>
      <c r="L48" s="83" t="s">
        <v>95</v>
      </c>
    </row>
    <row r="49" spans="1:13" ht="15.6">
      <c r="A49" s="116" t="s">
        <v>37</v>
      </c>
      <c r="B49" s="67"/>
      <c r="C49" s="21"/>
      <c r="D49" s="17"/>
      <c r="E49" s="15"/>
      <c r="F49" s="15"/>
      <c r="G49" s="21"/>
      <c r="H49" s="15"/>
      <c r="I49" s="15"/>
      <c r="J49" s="43"/>
      <c r="K49" s="15"/>
      <c r="L49" s="15" t="s">
        <v>88</v>
      </c>
    </row>
    <row r="50" spans="1:13" ht="18">
      <c r="A50" s="115" t="s">
        <v>46</v>
      </c>
      <c r="B50" s="70"/>
      <c r="C50" s="63"/>
      <c r="D50" s="53"/>
      <c r="E50" s="14"/>
      <c r="F50" s="53"/>
      <c r="G50" s="14"/>
      <c r="H50" s="53"/>
      <c r="I50" s="10" t="s">
        <v>3</v>
      </c>
      <c r="J50" s="10" t="s">
        <v>3</v>
      </c>
      <c r="K50" s="10"/>
      <c r="L50" s="10" t="s">
        <v>3</v>
      </c>
      <c r="M50" t="str">
        <f>_xlfn.XLOOKUP(A50,'Method list'!$C$3:$C$132,'Method list'!$B$3:$B$132)</f>
        <v>H2O2</v>
      </c>
    </row>
    <row r="51" spans="1:13">
      <c r="H51" s="13"/>
      <c r="I51" s="13"/>
      <c r="J51" s="14"/>
      <c r="K51" s="14"/>
      <c r="L51" s="14"/>
    </row>
    <row r="52" spans="1:13" ht="43.2">
      <c r="A52" s="120" t="s">
        <v>59</v>
      </c>
      <c r="B52" s="14"/>
      <c r="C52" s="14"/>
      <c r="D52" s="14"/>
      <c r="E52" s="14"/>
      <c r="F52" s="14"/>
      <c r="G52" s="14"/>
      <c r="H52" s="13"/>
      <c r="I52" s="13"/>
      <c r="J52" s="14"/>
      <c r="K52" s="14"/>
      <c r="L52" s="14"/>
    </row>
    <row r="53" spans="1:13" ht="69.599999999999994">
      <c r="A53" s="121" t="s">
        <v>98</v>
      </c>
      <c r="B53" s="80"/>
      <c r="C53" s="80"/>
      <c r="D53" s="80"/>
      <c r="E53" s="80"/>
      <c r="F53" s="80"/>
      <c r="G53" s="80"/>
      <c r="H53" s="81"/>
      <c r="I53" s="81"/>
      <c r="J53" s="80"/>
      <c r="K53" s="88"/>
      <c r="L53" s="14"/>
    </row>
    <row r="54" spans="1:13">
      <c r="A54" s="122" t="s">
        <v>22</v>
      </c>
      <c r="B54" s="14" t="s">
        <v>57</v>
      </c>
      <c r="C54" s="18"/>
      <c r="D54" s="18"/>
      <c r="F54" s="80" t="s">
        <v>99</v>
      </c>
      <c r="G54" s="80"/>
      <c r="H54" s="81"/>
      <c r="I54" s="81"/>
      <c r="J54" s="80"/>
      <c r="K54" s="86"/>
      <c r="L54" s="38"/>
    </row>
    <row r="55" spans="1:13">
      <c r="A55" s="122" t="s">
        <v>47</v>
      </c>
      <c r="B55" s="14"/>
      <c r="C55" s="18"/>
      <c r="D55" s="18"/>
      <c r="F55" s="18" t="s">
        <v>67</v>
      </c>
      <c r="G55" s="18"/>
      <c r="H55" s="19"/>
      <c r="I55" s="19"/>
      <c r="J55" s="18"/>
      <c r="K55" s="18"/>
      <c r="L55" s="14"/>
    </row>
    <row r="56" spans="1:13">
      <c r="A56" s="123" t="s">
        <v>23</v>
      </c>
      <c r="F56" s="29" t="s">
        <v>49</v>
      </c>
    </row>
    <row r="57" spans="1:13" ht="26.4">
      <c r="A57" s="122" t="s">
        <v>69</v>
      </c>
      <c r="B57" s="14"/>
      <c r="D57" s="18"/>
      <c r="E57" s="18"/>
      <c r="F57" s="29" t="s">
        <v>70</v>
      </c>
    </row>
    <row r="58" spans="1:13" ht="26.4">
      <c r="A58" s="123" t="s">
        <v>81</v>
      </c>
      <c r="D58" s="14"/>
      <c r="E58" s="29"/>
      <c r="F58" s="18" t="s">
        <v>48</v>
      </c>
      <c r="G58" s="39"/>
      <c r="H58" s="18"/>
      <c r="I58" s="30"/>
      <c r="J58" s="30"/>
      <c r="K58" s="30"/>
      <c r="L58" s="30"/>
    </row>
    <row r="59" spans="1:13" ht="26.4">
      <c r="A59" s="124" t="s">
        <v>94</v>
      </c>
      <c r="B59" s="80"/>
      <c r="C59" s="81"/>
      <c r="D59" s="81"/>
      <c r="E59" s="19"/>
      <c r="F59" s="19"/>
      <c r="G59" s="19"/>
      <c r="H59" s="18"/>
      <c r="I59" s="30"/>
      <c r="J59" s="30"/>
      <c r="K59" s="30"/>
      <c r="L59" s="30"/>
    </row>
    <row r="60" spans="1:13" ht="13.8">
      <c r="F60" s="37" t="e">
        <f ca="1">CELL("filename",#REF!)</f>
        <v>#REF!</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5241F-8862-4D15-BD1D-F728B3504110}">
  <sheetPr filterMode="1"/>
  <dimension ref="A1:F132"/>
  <sheetViews>
    <sheetView workbookViewId="0">
      <selection activeCell="A3" sqref="A3"/>
    </sheetView>
  </sheetViews>
  <sheetFormatPr defaultRowHeight="13.2"/>
  <sheetData>
    <row r="1" spans="1:6" ht="18.600000000000001" thickBot="1">
      <c r="A1" s="92" t="s">
        <v>101</v>
      </c>
      <c r="B1" s="93"/>
      <c r="C1" s="94"/>
      <c r="D1" s="95"/>
      <c r="E1" s="95"/>
      <c r="F1" s="95"/>
    </row>
    <row r="2" spans="1:6" ht="43.8" thickBot="1">
      <c r="A2" s="96" t="s">
        <v>102</v>
      </c>
      <c r="B2" s="97" t="s">
        <v>103</v>
      </c>
      <c r="C2" s="98" t="s">
        <v>104</v>
      </c>
      <c r="D2" s="99" t="s">
        <v>105</v>
      </c>
      <c r="E2" s="99" t="s">
        <v>106</v>
      </c>
      <c r="F2" s="99" t="s">
        <v>107</v>
      </c>
    </row>
    <row r="3" spans="1:6" ht="57.6" hidden="1">
      <c r="A3" s="125" t="s">
        <v>301</v>
      </c>
      <c r="B3" s="126" t="s">
        <v>132</v>
      </c>
      <c r="C3" s="127" t="s">
        <v>302</v>
      </c>
      <c r="D3" s="128" t="s">
        <v>114</v>
      </c>
      <c r="E3" s="128"/>
      <c r="F3" s="128"/>
    </row>
    <row r="4" spans="1:6" ht="28.8" hidden="1">
      <c r="A4" s="104" t="s">
        <v>115</v>
      </c>
      <c r="B4" s="105" t="s">
        <v>116</v>
      </c>
      <c r="C4" s="106" t="s">
        <v>116</v>
      </c>
      <c r="D4" s="107" t="s">
        <v>114</v>
      </c>
      <c r="E4" s="107"/>
      <c r="F4" s="107"/>
    </row>
    <row r="5" spans="1:6" ht="43.2" hidden="1">
      <c r="A5" s="100" t="s">
        <v>121</v>
      </c>
      <c r="B5" s="101" t="s">
        <v>122</v>
      </c>
      <c r="C5" s="102" t="s">
        <v>123</v>
      </c>
      <c r="D5" s="103" t="s">
        <v>123</v>
      </c>
      <c r="E5" s="103" t="s">
        <v>123</v>
      </c>
      <c r="F5" s="103"/>
    </row>
    <row r="6" spans="1:6" ht="28.8" hidden="1">
      <c r="A6" s="104" t="s">
        <v>117</v>
      </c>
      <c r="B6" s="105" t="s">
        <v>109</v>
      </c>
      <c r="C6" s="106" t="s">
        <v>118</v>
      </c>
      <c r="D6" s="107" t="s">
        <v>118</v>
      </c>
      <c r="E6" s="107" t="s">
        <v>118</v>
      </c>
      <c r="F6" s="107" t="s">
        <v>118</v>
      </c>
    </row>
    <row r="7" spans="1:6" ht="57.6" hidden="1">
      <c r="A7" s="100" t="s">
        <v>119</v>
      </c>
      <c r="B7" s="101" t="s">
        <v>112</v>
      </c>
      <c r="C7" s="102" t="s">
        <v>120</v>
      </c>
      <c r="D7" s="103" t="s">
        <v>114</v>
      </c>
      <c r="E7" s="103"/>
      <c r="F7" s="103"/>
    </row>
    <row r="8" spans="1:6" ht="28.8" hidden="1">
      <c r="A8" s="104" t="s">
        <v>261</v>
      </c>
      <c r="B8" s="105" t="s">
        <v>262</v>
      </c>
      <c r="C8" s="106" t="s">
        <v>263</v>
      </c>
      <c r="D8" s="107" t="s">
        <v>114</v>
      </c>
      <c r="E8" s="107" t="s">
        <v>263</v>
      </c>
      <c r="F8" s="107"/>
    </row>
    <row r="9" spans="1:6" ht="14.4" hidden="1">
      <c r="A9" s="100" t="s">
        <v>303</v>
      </c>
      <c r="B9" s="101" t="s">
        <v>109</v>
      </c>
      <c r="C9" s="102" t="s">
        <v>304</v>
      </c>
      <c r="D9" s="103" t="s">
        <v>304</v>
      </c>
      <c r="E9" s="103"/>
      <c r="F9" s="103" t="s">
        <v>304</v>
      </c>
    </row>
    <row r="10" spans="1:6" ht="43.2" hidden="1">
      <c r="A10" s="104" t="s">
        <v>305</v>
      </c>
      <c r="B10" s="105" t="s">
        <v>112</v>
      </c>
      <c r="C10" s="106" t="s">
        <v>306</v>
      </c>
      <c r="D10" s="107" t="s">
        <v>114</v>
      </c>
      <c r="E10" s="107"/>
      <c r="F10" s="107"/>
    </row>
    <row r="11" spans="1:6" ht="57.6" hidden="1">
      <c r="A11" s="100" t="s">
        <v>124</v>
      </c>
      <c r="B11" s="101" t="s">
        <v>125</v>
      </c>
      <c r="C11" s="102" t="s">
        <v>126</v>
      </c>
      <c r="D11" s="103" t="s">
        <v>114</v>
      </c>
      <c r="E11" s="103"/>
      <c r="F11" s="103"/>
    </row>
    <row r="12" spans="1:6" ht="14.4" hidden="1">
      <c r="A12" s="104" t="s">
        <v>127</v>
      </c>
      <c r="B12" s="105" t="s">
        <v>109</v>
      </c>
      <c r="C12" s="106" t="s">
        <v>128</v>
      </c>
      <c r="D12" s="107" t="s">
        <v>128</v>
      </c>
      <c r="E12" s="107"/>
      <c r="F12" s="107" t="s">
        <v>128</v>
      </c>
    </row>
    <row r="13" spans="1:6" ht="43.2" hidden="1">
      <c r="A13" s="100" t="s">
        <v>129</v>
      </c>
      <c r="B13" s="101" t="s">
        <v>112</v>
      </c>
      <c r="C13" s="102" t="s">
        <v>130</v>
      </c>
      <c r="D13" s="103" t="s">
        <v>114</v>
      </c>
      <c r="E13" s="103"/>
      <c r="F13" s="103"/>
    </row>
    <row r="14" spans="1:6" ht="14.4" hidden="1">
      <c r="A14" s="104" t="s">
        <v>133</v>
      </c>
      <c r="B14" s="105" t="s">
        <v>109</v>
      </c>
      <c r="C14" s="106" t="s">
        <v>134</v>
      </c>
      <c r="D14" s="107" t="s">
        <v>134</v>
      </c>
      <c r="E14" s="107" t="s">
        <v>134</v>
      </c>
      <c r="F14" s="107" t="s">
        <v>134</v>
      </c>
    </row>
    <row r="15" spans="1:6" ht="43.2" hidden="1">
      <c r="A15" s="100" t="s">
        <v>135</v>
      </c>
      <c r="B15" s="101" t="s">
        <v>112</v>
      </c>
      <c r="C15" s="102" t="s">
        <v>136</v>
      </c>
      <c r="D15" s="103" t="s">
        <v>114</v>
      </c>
      <c r="E15" s="103"/>
      <c r="F15" s="103"/>
    </row>
    <row r="16" spans="1:6" ht="14.4" hidden="1">
      <c r="A16" s="104" t="s">
        <v>140</v>
      </c>
      <c r="B16" s="105" t="s">
        <v>109</v>
      </c>
      <c r="C16" s="106" t="s">
        <v>141</v>
      </c>
      <c r="D16" s="107" t="s">
        <v>141</v>
      </c>
      <c r="E16" s="107"/>
      <c r="F16" s="107" t="s">
        <v>141</v>
      </c>
    </row>
    <row r="17" spans="1:6" ht="43.2" hidden="1">
      <c r="A17" s="100" t="s">
        <v>142</v>
      </c>
      <c r="B17" s="101" t="s">
        <v>112</v>
      </c>
      <c r="C17" s="102" t="s">
        <v>143</v>
      </c>
      <c r="D17" s="103" t="s">
        <v>114</v>
      </c>
      <c r="E17" s="103"/>
      <c r="F17" s="103"/>
    </row>
    <row r="18" spans="1:6" ht="43.2" hidden="1">
      <c r="A18" s="104" t="s">
        <v>231</v>
      </c>
      <c r="B18" s="105" t="s">
        <v>122</v>
      </c>
      <c r="C18" s="106" t="s">
        <v>388</v>
      </c>
      <c r="D18" s="107" t="s">
        <v>232</v>
      </c>
      <c r="E18" s="107" t="s">
        <v>232</v>
      </c>
      <c r="F18" s="107"/>
    </row>
    <row r="19" spans="1:6" ht="43.2" hidden="1">
      <c r="A19" s="100" t="s">
        <v>229</v>
      </c>
      <c r="B19" s="101" t="s">
        <v>122</v>
      </c>
      <c r="C19" s="102" t="s">
        <v>230</v>
      </c>
      <c r="D19" s="103" t="s">
        <v>114</v>
      </c>
      <c r="E19" s="103" t="s">
        <v>230</v>
      </c>
      <c r="F19" s="103"/>
    </row>
    <row r="20" spans="1:6" ht="14.4" hidden="1">
      <c r="A20" s="104" t="s">
        <v>131</v>
      </c>
      <c r="B20" s="105" t="s">
        <v>132</v>
      </c>
      <c r="C20" s="106" t="s">
        <v>13</v>
      </c>
      <c r="D20" s="107" t="s">
        <v>13</v>
      </c>
      <c r="E20" s="107" t="s">
        <v>13</v>
      </c>
      <c r="F20" s="107" t="s">
        <v>13</v>
      </c>
    </row>
    <row r="21" spans="1:6" ht="43.2" hidden="1">
      <c r="A21" s="100" t="s">
        <v>137</v>
      </c>
      <c r="B21" s="101" t="s">
        <v>138</v>
      </c>
      <c r="C21" s="102" t="s">
        <v>139</v>
      </c>
      <c r="D21" s="103" t="s">
        <v>114</v>
      </c>
      <c r="E21" s="103"/>
      <c r="F21" s="103"/>
    </row>
    <row r="22" spans="1:6" ht="14.4" hidden="1">
      <c r="A22" s="104" t="s">
        <v>146</v>
      </c>
      <c r="B22" s="105" t="s">
        <v>145</v>
      </c>
      <c r="C22" s="106" t="s">
        <v>147</v>
      </c>
      <c r="D22" s="107" t="s">
        <v>114</v>
      </c>
      <c r="E22" s="107"/>
      <c r="F22" s="107"/>
    </row>
    <row r="23" spans="1:6" ht="14.4" hidden="1">
      <c r="A23" s="100" t="s">
        <v>144</v>
      </c>
      <c r="B23" s="101" t="s">
        <v>145</v>
      </c>
      <c r="C23" s="102" t="s">
        <v>12</v>
      </c>
      <c r="D23" s="103" t="s">
        <v>12</v>
      </c>
      <c r="E23" s="103"/>
      <c r="F23" s="103"/>
    </row>
    <row r="24" spans="1:6" ht="14.4" hidden="1">
      <c r="A24" s="104" t="s">
        <v>153</v>
      </c>
      <c r="B24" s="105" t="s">
        <v>109</v>
      </c>
      <c r="C24" s="106" t="s">
        <v>154</v>
      </c>
      <c r="D24" s="107" t="s">
        <v>154</v>
      </c>
      <c r="E24" s="107"/>
      <c r="F24" s="107" t="s">
        <v>154</v>
      </c>
    </row>
    <row r="25" spans="1:6" ht="43.2" hidden="1">
      <c r="A25" s="100" t="s">
        <v>155</v>
      </c>
      <c r="B25" s="101" t="s">
        <v>112</v>
      </c>
      <c r="C25" s="102" t="s">
        <v>156</v>
      </c>
      <c r="D25" s="103" t="s">
        <v>114</v>
      </c>
      <c r="E25" s="103"/>
      <c r="F25" s="103"/>
    </row>
    <row r="26" spans="1:6" ht="14.4" hidden="1">
      <c r="A26" s="104" t="s">
        <v>148</v>
      </c>
      <c r="B26" s="105" t="s">
        <v>132</v>
      </c>
      <c r="C26" s="106" t="s">
        <v>7</v>
      </c>
      <c r="D26" s="107" t="s">
        <v>7</v>
      </c>
      <c r="E26" s="107" t="s">
        <v>7</v>
      </c>
      <c r="F26" s="107" t="s">
        <v>7</v>
      </c>
    </row>
    <row r="27" spans="1:6" ht="43.2" hidden="1">
      <c r="A27" s="100" t="s">
        <v>149</v>
      </c>
      <c r="B27" s="101" t="s">
        <v>138</v>
      </c>
      <c r="C27" s="102" t="s">
        <v>150</v>
      </c>
      <c r="D27" s="103" t="s">
        <v>114</v>
      </c>
      <c r="E27" s="103"/>
      <c r="F27" s="103"/>
    </row>
    <row r="28" spans="1:6" ht="28.8" hidden="1">
      <c r="A28" s="104" t="s">
        <v>151</v>
      </c>
      <c r="B28" s="105" t="s">
        <v>132</v>
      </c>
      <c r="C28" s="106" t="s">
        <v>152</v>
      </c>
      <c r="D28" s="107" t="s">
        <v>114</v>
      </c>
      <c r="E28" s="107"/>
      <c r="F28" s="107"/>
    </row>
    <row r="29" spans="1:6" ht="43.2" hidden="1">
      <c r="A29" s="100" t="s">
        <v>171</v>
      </c>
      <c r="B29" s="101" t="s">
        <v>122</v>
      </c>
      <c r="C29" s="102" t="s">
        <v>172</v>
      </c>
      <c r="D29" s="103" t="s">
        <v>172</v>
      </c>
      <c r="E29" s="103" t="s">
        <v>172</v>
      </c>
      <c r="F29" s="103"/>
    </row>
    <row r="30" spans="1:6" ht="43.2" hidden="1">
      <c r="A30" s="104" t="s">
        <v>169</v>
      </c>
      <c r="B30" s="105" t="s">
        <v>122</v>
      </c>
      <c r="C30" s="106" t="s">
        <v>170</v>
      </c>
      <c r="D30" s="107" t="s">
        <v>114</v>
      </c>
      <c r="E30" s="107" t="s">
        <v>170</v>
      </c>
      <c r="F30" s="107"/>
    </row>
    <row r="31" spans="1:6" ht="14.4" hidden="1">
      <c r="A31" s="100" t="s">
        <v>161</v>
      </c>
      <c r="B31" s="101" t="s">
        <v>145</v>
      </c>
      <c r="C31" s="102" t="s">
        <v>162</v>
      </c>
      <c r="D31" s="103" t="s">
        <v>114</v>
      </c>
      <c r="E31" s="103"/>
      <c r="F31" s="103"/>
    </row>
    <row r="32" spans="1:6" ht="14.4" hidden="1">
      <c r="A32" s="104" t="s">
        <v>157</v>
      </c>
      <c r="B32" s="105" t="s">
        <v>158</v>
      </c>
      <c r="C32" s="106" t="s">
        <v>11</v>
      </c>
      <c r="D32" s="107" t="s">
        <v>11</v>
      </c>
      <c r="E32" s="107" t="s">
        <v>11</v>
      </c>
      <c r="F32" s="107"/>
    </row>
    <row r="33" spans="1:6" ht="14.4" hidden="1">
      <c r="A33" s="100" t="s">
        <v>159</v>
      </c>
      <c r="B33" s="101" t="s">
        <v>145</v>
      </c>
      <c r="C33" s="102" t="s">
        <v>160</v>
      </c>
      <c r="D33" s="103" t="s">
        <v>114</v>
      </c>
      <c r="E33" s="103"/>
      <c r="F33" s="103"/>
    </row>
    <row r="34" spans="1:6" ht="28.8" hidden="1">
      <c r="A34" s="104" t="s">
        <v>182</v>
      </c>
      <c r="B34" s="105" t="s">
        <v>109</v>
      </c>
      <c r="C34" s="106" t="s">
        <v>183</v>
      </c>
      <c r="D34" s="107" t="s">
        <v>183</v>
      </c>
      <c r="E34" s="107"/>
      <c r="F34" s="107" t="s">
        <v>183</v>
      </c>
    </row>
    <row r="35" spans="1:6" ht="57.6" hidden="1">
      <c r="A35" s="100" t="s">
        <v>184</v>
      </c>
      <c r="B35" s="101" t="s">
        <v>112</v>
      </c>
      <c r="C35" s="102" t="s">
        <v>185</v>
      </c>
      <c r="D35" s="103" t="s">
        <v>114</v>
      </c>
      <c r="E35" s="103"/>
      <c r="F35" s="103"/>
    </row>
    <row r="36" spans="1:6" ht="14.4" hidden="1">
      <c r="A36" s="104" t="s">
        <v>167</v>
      </c>
      <c r="B36" s="105" t="s">
        <v>109</v>
      </c>
      <c r="C36" s="106" t="s">
        <v>168</v>
      </c>
      <c r="D36" s="107" t="s">
        <v>168</v>
      </c>
      <c r="E36" s="107"/>
      <c r="F36" s="107" t="s">
        <v>168</v>
      </c>
    </row>
    <row r="37" spans="1:6" ht="43.2" hidden="1">
      <c r="A37" s="100" t="s">
        <v>176</v>
      </c>
      <c r="B37" s="101" t="s">
        <v>112</v>
      </c>
      <c r="C37" s="102" t="s">
        <v>177</v>
      </c>
      <c r="D37" s="103" t="s">
        <v>114</v>
      </c>
      <c r="E37" s="103"/>
      <c r="F37" s="103"/>
    </row>
    <row r="38" spans="1:6" ht="14.4" hidden="1">
      <c r="A38" s="104" t="s">
        <v>191</v>
      </c>
      <c r="B38" s="105" t="s">
        <v>109</v>
      </c>
      <c r="C38" s="106" t="s">
        <v>192</v>
      </c>
      <c r="D38" s="107" t="s">
        <v>192</v>
      </c>
      <c r="E38" s="107"/>
      <c r="F38" s="107" t="s">
        <v>192</v>
      </c>
    </row>
    <row r="39" spans="1:6" ht="43.2" hidden="1">
      <c r="A39" s="100" t="s">
        <v>193</v>
      </c>
      <c r="B39" s="101" t="s">
        <v>112</v>
      </c>
      <c r="C39" s="102" t="s">
        <v>194</v>
      </c>
      <c r="D39" s="103" t="s">
        <v>114</v>
      </c>
      <c r="E39" s="103"/>
      <c r="F39" s="103"/>
    </row>
    <row r="40" spans="1:6" ht="28.8" hidden="1">
      <c r="A40" s="104" t="s">
        <v>37</v>
      </c>
      <c r="B40" s="105" t="s">
        <v>180</v>
      </c>
      <c r="C40" s="106" t="s">
        <v>181</v>
      </c>
      <c r="D40" s="107" t="s">
        <v>114</v>
      </c>
      <c r="E40" s="107"/>
      <c r="F40" s="107"/>
    </row>
    <row r="41" spans="1:6" ht="14.4" hidden="1">
      <c r="A41" s="100" t="s">
        <v>165</v>
      </c>
      <c r="B41" s="101" t="s">
        <v>166</v>
      </c>
      <c r="C41" s="102" t="s">
        <v>17</v>
      </c>
      <c r="D41" s="103" t="s">
        <v>114</v>
      </c>
      <c r="E41" s="103"/>
      <c r="F41" s="103"/>
    </row>
    <row r="42" spans="1:6" ht="43.2" hidden="1">
      <c r="A42" s="104" t="s">
        <v>198</v>
      </c>
      <c r="B42" s="105" t="s">
        <v>199</v>
      </c>
      <c r="C42" s="106" t="s">
        <v>86</v>
      </c>
      <c r="D42" s="107" t="s">
        <v>114</v>
      </c>
      <c r="E42" s="107"/>
      <c r="F42" s="107"/>
    </row>
    <row r="43" spans="1:6" ht="57.6" hidden="1">
      <c r="A43" s="100" t="s">
        <v>200</v>
      </c>
      <c r="B43" s="101" t="s">
        <v>201</v>
      </c>
      <c r="C43" s="102" t="s">
        <v>202</v>
      </c>
      <c r="D43" s="103" t="s">
        <v>114</v>
      </c>
      <c r="E43" s="103"/>
      <c r="F43" s="103"/>
    </row>
    <row r="44" spans="1:6" ht="28.8" hidden="1">
      <c r="A44" s="104" t="s">
        <v>195</v>
      </c>
      <c r="B44" s="105" t="s">
        <v>196</v>
      </c>
      <c r="C44" s="106" t="s">
        <v>197</v>
      </c>
      <c r="D44" s="107" t="s">
        <v>114</v>
      </c>
      <c r="E44" s="107"/>
      <c r="F44" s="107"/>
    </row>
    <row r="45" spans="1:6" ht="57.6" hidden="1">
      <c r="A45" s="100" t="s">
        <v>205</v>
      </c>
      <c r="B45" s="101" t="s">
        <v>206</v>
      </c>
      <c r="C45" s="102" t="s">
        <v>207</v>
      </c>
      <c r="D45" s="103" t="s">
        <v>114</v>
      </c>
      <c r="E45" s="103"/>
      <c r="F45" s="103"/>
    </row>
    <row r="46" spans="1:6" ht="43.2" hidden="1">
      <c r="A46" s="104" t="s">
        <v>203</v>
      </c>
      <c r="B46" s="105" t="s">
        <v>204</v>
      </c>
      <c r="C46" s="106" t="s">
        <v>0</v>
      </c>
      <c r="D46" s="107" t="s">
        <v>0</v>
      </c>
      <c r="E46" s="107" t="s">
        <v>0</v>
      </c>
      <c r="F46" s="107"/>
    </row>
    <row r="47" spans="1:6" ht="100.8" hidden="1">
      <c r="A47" s="100" t="s">
        <v>209</v>
      </c>
      <c r="B47" s="101">
        <v>9221</v>
      </c>
      <c r="C47" s="102" t="s">
        <v>210</v>
      </c>
      <c r="D47" s="103" t="s">
        <v>114</v>
      </c>
      <c r="E47" s="103"/>
      <c r="F47" s="103"/>
    </row>
    <row r="48" spans="1:6" ht="86.4" hidden="1">
      <c r="A48" s="104" t="s">
        <v>211</v>
      </c>
      <c r="B48" s="105" t="s">
        <v>212</v>
      </c>
      <c r="C48" s="106" t="s">
        <v>213</v>
      </c>
      <c r="D48" s="107" t="s">
        <v>114</v>
      </c>
      <c r="E48" s="107"/>
      <c r="F48" s="107"/>
    </row>
    <row r="49" spans="1:6" ht="57.6" hidden="1">
      <c r="A49" s="100" t="s">
        <v>173</v>
      </c>
      <c r="B49" s="101" t="s">
        <v>174</v>
      </c>
      <c r="C49" s="102" t="s">
        <v>175</v>
      </c>
      <c r="D49" s="103" t="s">
        <v>114</v>
      </c>
      <c r="E49" s="103"/>
      <c r="F49" s="103"/>
    </row>
    <row r="50" spans="1:6" ht="14.4" hidden="1">
      <c r="A50" s="104" t="s">
        <v>208</v>
      </c>
      <c r="B50" s="105" t="s">
        <v>158</v>
      </c>
      <c r="C50" s="106" t="s">
        <v>10</v>
      </c>
      <c r="D50" s="107" t="s">
        <v>114</v>
      </c>
      <c r="E50" s="107" t="s">
        <v>10</v>
      </c>
      <c r="F50" s="107"/>
    </row>
    <row r="51" spans="1:6" ht="28.8" hidden="1">
      <c r="A51" s="100" t="s">
        <v>217</v>
      </c>
      <c r="B51" s="101" t="s">
        <v>218</v>
      </c>
      <c r="C51" s="102" t="s">
        <v>219</v>
      </c>
      <c r="D51" s="103" t="s">
        <v>114</v>
      </c>
      <c r="E51" s="103"/>
      <c r="F51" s="103"/>
    </row>
    <row r="52" spans="1:6" ht="69" hidden="1">
      <c r="A52" s="108" t="s">
        <v>220</v>
      </c>
      <c r="B52" s="109" t="s">
        <v>221</v>
      </c>
      <c r="C52" s="106" t="s">
        <v>222</v>
      </c>
      <c r="D52" s="107" t="s">
        <v>114</v>
      </c>
      <c r="E52" s="107"/>
      <c r="F52" s="107"/>
    </row>
    <row r="53" spans="1:6" ht="28.8" hidden="1">
      <c r="A53" s="100" t="s">
        <v>223</v>
      </c>
      <c r="B53" s="101" t="s">
        <v>109</v>
      </c>
      <c r="C53" s="102" t="s">
        <v>224</v>
      </c>
      <c r="D53" s="103" t="s">
        <v>224</v>
      </c>
      <c r="E53" s="103"/>
      <c r="F53" s="103" t="s">
        <v>224</v>
      </c>
    </row>
    <row r="54" spans="1:6" ht="57.6" hidden="1">
      <c r="A54" s="104" t="s">
        <v>225</v>
      </c>
      <c r="B54" s="105" t="s">
        <v>112</v>
      </c>
      <c r="C54" s="106" t="s">
        <v>226</v>
      </c>
      <c r="D54" s="107" t="s">
        <v>114</v>
      </c>
      <c r="E54" s="107"/>
      <c r="F54" s="107"/>
    </row>
    <row r="55" spans="1:6" ht="100.8" hidden="1">
      <c r="A55" s="100" t="s">
        <v>237</v>
      </c>
      <c r="B55" s="101" t="s">
        <v>238</v>
      </c>
      <c r="C55" s="102" t="s">
        <v>239</v>
      </c>
      <c r="D55" s="103" t="s">
        <v>114</v>
      </c>
      <c r="E55" s="103"/>
      <c r="F55" s="103"/>
    </row>
    <row r="56" spans="1:6" ht="86.4" hidden="1">
      <c r="A56" s="104" t="s">
        <v>240</v>
      </c>
      <c r="B56" s="105" t="s">
        <v>241</v>
      </c>
      <c r="C56" s="106" t="s">
        <v>242</v>
      </c>
      <c r="D56" s="107" t="s">
        <v>114</v>
      </c>
      <c r="E56" s="107"/>
      <c r="F56" s="107"/>
    </row>
    <row r="57" spans="1:6" ht="57.6" hidden="1">
      <c r="A57" s="100" t="s">
        <v>188</v>
      </c>
      <c r="B57" s="101" t="s">
        <v>189</v>
      </c>
      <c r="C57" s="102" t="s">
        <v>190</v>
      </c>
      <c r="D57" s="103" t="s">
        <v>114</v>
      </c>
      <c r="E57" s="103"/>
      <c r="F57" s="103"/>
    </row>
    <row r="58" spans="1:6" ht="28.8" hidden="1">
      <c r="A58" s="104" t="s">
        <v>227</v>
      </c>
      <c r="B58" s="105" t="s">
        <v>228</v>
      </c>
      <c r="C58" s="106" t="s">
        <v>228</v>
      </c>
      <c r="D58" s="107" t="s">
        <v>114</v>
      </c>
      <c r="E58" s="107"/>
      <c r="F58" s="107"/>
    </row>
    <row r="59" spans="1:6" ht="43.2" hidden="1">
      <c r="A59" s="100" t="s">
        <v>286</v>
      </c>
      <c r="B59" s="101" t="s">
        <v>122</v>
      </c>
      <c r="C59" s="102" t="s">
        <v>287</v>
      </c>
      <c r="D59" s="103" t="s">
        <v>287</v>
      </c>
      <c r="E59" s="103" t="s">
        <v>287</v>
      </c>
      <c r="F59" s="103"/>
    </row>
    <row r="60" spans="1:6" ht="28.8" hidden="1">
      <c r="A60" s="104" t="s">
        <v>284</v>
      </c>
      <c r="B60" s="105" t="s">
        <v>122</v>
      </c>
      <c r="C60" s="106" t="s">
        <v>285</v>
      </c>
      <c r="D60" s="107" t="s">
        <v>114</v>
      </c>
      <c r="E60" s="107" t="s">
        <v>285</v>
      </c>
      <c r="F60" s="107"/>
    </row>
    <row r="61" spans="1:6" ht="14.4" hidden="1">
      <c r="A61" s="100" t="s">
        <v>214</v>
      </c>
      <c r="B61" s="101" t="s">
        <v>132</v>
      </c>
      <c r="C61" s="102" t="s">
        <v>34</v>
      </c>
      <c r="D61" s="103" t="s">
        <v>34</v>
      </c>
      <c r="E61" s="103" t="s">
        <v>34</v>
      </c>
      <c r="F61" s="103" t="s">
        <v>34</v>
      </c>
    </row>
    <row r="62" spans="1:6" ht="43.2" hidden="1">
      <c r="A62" s="104" t="s">
        <v>215</v>
      </c>
      <c r="B62" s="101" t="s">
        <v>138</v>
      </c>
      <c r="C62" s="106" t="s">
        <v>216</v>
      </c>
      <c r="D62" s="107" t="s">
        <v>114</v>
      </c>
      <c r="E62" s="107" t="s">
        <v>216</v>
      </c>
      <c r="F62" s="107"/>
    </row>
    <row r="63" spans="1:6" ht="14.4" hidden="1">
      <c r="A63" s="100" t="s">
        <v>290</v>
      </c>
      <c r="B63" s="101" t="s">
        <v>109</v>
      </c>
      <c r="C63" s="102" t="s">
        <v>291</v>
      </c>
      <c r="D63" s="103" t="s">
        <v>291</v>
      </c>
      <c r="E63" s="103"/>
      <c r="F63" s="103" t="s">
        <v>291</v>
      </c>
    </row>
    <row r="64" spans="1:6" ht="43.2" hidden="1">
      <c r="A64" s="104" t="s">
        <v>292</v>
      </c>
      <c r="B64" s="105" t="s">
        <v>112</v>
      </c>
      <c r="C64" s="106" t="s">
        <v>293</v>
      </c>
      <c r="D64" s="107" t="s">
        <v>114</v>
      </c>
      <c r="E64" s="129"/>
      <c r="F64" s="107"/>
    </row>
    <row r="65" spans="1:6" ht="28.8" hidden="1">
      <c r="A65" s="100" t="s">
        <v>249</v>
      </c>
      <c r="B65" s="101" t="s">
        <v>132</v>
      </c>
      <c r="C65" s="102" t="s">
        <v>250</v>
      </c>
      <c r="D65" s="103" t="s">
        <v>250</v>
      </c>
      <c r="E65" s="103" t="s">
        <v>250</v>
      </c>
      <c r="F65" s="103" t="s">
        <v>250</v>
      </c>
    </row>
    <row r="66" spans="1:6" ht="57.6" hidden="1">
      <c r="A66" s="104" t="s">
        <v>251</v>
      </c>
      <c r="B66" s="105" t="s">
        <v>138</v>
      </c>
      <c r="C66" s="106" t="s">
        <v>252</v>
      </c>
      <c r="D66" s="107" t="s">
        <v>114</v>
      </c>
      <c r="E66" s="107"/>
      <c r="F66" s="107"/>
    </row>
    <row r="67" spans="1:6" ht="28.8" hidden="1">
      <c r="A67" s="100" t="s">
        <v>253</v>
      </c>
      <c r="B67" s="101" t="s">
        <v>109</v>
      </c>
      <c r="C67" s="102" t="s">
        <v>55</v>
      </c>
      <c r="D67" s="103" t="s">
        <v>55</v>
      </c>
      <c r="E67" s="103" t="s">
        <v>55</v>
      </c>
      <c r="F67" s="103" t="s">
        <v>55</v>
      </c>
    </row>
    <row r="68" spans="1:6" ht="57.6" hidden="1">
      <c r="A68" s="104" t="s">
        <v>254</v>
      </c>
      <c r="B68" s="105" t="s">
        <v>112</v>
      </c>
      <c r="C68" s="106" t="s">
        <v>255</v>
      </c>
      <c r="D68" s="107" t="s">
        <v>114</v>
      </c>
      <c r="E68" s="107"/>
      <c r="F68" s="107"/>
    </row>
    <row r="69" spans="1:6" ht="14.4" hidden="1">
      <c r="A69" s="100" t="s">
        <v>233</v>
      </c>
      <c r="B69" s="101" t="s">
        <v>109</v>
      </c>
      <c r="C69" s="102" t="s">
        <v>234</v>
      </c>
      <c r="D69" s="103" t="s">
        <v>234</v>
      </c>
      <c r="E69" s="103"/>
      <c r="F69" s="103" t="s">
        <v>234</v>
      </c>
    </row>
    <row r="70" spans="1:6" ht="43.2" hidden="1">
      <c r="A70" s="104" t="s">
        <v>235</v>
      </c>
      <c r="B70" s="105" t="s">
        <v>112</v>
      </c>
      <c r="C70" s="106" t="s">
        <v>236</v>
      </c>
      <c r="D70" s="107" t="s">
        <v>114</v>
      </c>
      <c r="E70" s="107"/>
      <c r="F70" s="107"/>
    </row>
    <row r="71" spans="1:6" ht="28.8" hidden="1">
      <c r="A71" s="100" t="s">
        <v>256</v>
      </c>
      <c r="B71" s="101" t="s">
        <v>109</v>
      </c>
      <c r="C71" s="102" t="s">
        <v>257</v>
      </c>
      <c r="D71" s="103" t="s">
        <v>114</v>
      </c>
      <c r="E71" s="103"/>
      <c r="F71" s="103"/>
    </row>
    <row r="72" spans="1:6" ht="14.4" hidden="1">
      <c r="A72" s="104" t="s">
        <v>264</v>
      </c>
      <c r="B72" s="105" t="s">
        <v>109</v>
      </c>
      <c r="C72" s="106" t="s">
        <v>265</v>
      </c>
      <c r="D72" s="107" t="s">
        <v>265</v>
      </c>
      <c r="E72" s="107"/>
      <c r="F72" s="107" t="s">
        <v>265</v>
      </c>
    </row>
    <row r="73" spans="1:6" ht="43.2" hidden="1">
      <c r="A73" s="100" t="s">
        <v>266</v>
      </c>
      <c r="B73" s="101" t="s">
        <v>112</v>
      </c>
      <c r="C73" s="102" t="s">
        <v>267</v>
      </c>
      <c r="D73" s="103" t="s">
        <v>114</v>
      </c>
      <c r="E73" s="103"/>
      <c r="F73" s="103"/>
    </row>
    <row r="74" spans="1:6" ht="14.4" hidden="1">
      <c r="A74" s="104" t="s">
        <v>271</v>
      </c>
      <c r="B74" s="105" t="s">
        <v>158</v>
      </c>
      <c r="C74" s="106" t="s">
        <v>272</v>
      </c>
      <c r="D74" s="107" t="s">
        <v>114</v>
      </c>
      <c r="E74" s="107" t="s">
        <v>272</v>
      </c>
      <c r="F74" s="107"/>
    </row>
    <row r="75" spans="1:6" ht="43.2" hidden="1">
      <c r="A75" s="100" t="s">
        <v>275</v>
      </c>
      <c r="B75" s="101" t="s">
        <v>269</v>
      </c>
      <c r="C75" s="102" t="s">
        <v>276</v>
      </c>
      <c r="D75" s="103" t="s">
        <v>114</v>
      </c>
      <c r="E75" s="103"/>
      <c r="F75" s="103"/>
    </row>
    <row r="76" spans="1:6" ht="28.8" hidden="1">
      <c r="A76" s="104" t="s">
        <v>273</v>
      </c>
      <c r="B76" s="105" t="s">
        <v>269</v>
      </c>
      <c r="C76" s="106" t="s">
        <v>274</v>
      </c>
      <c r="D76" s="107" t="s">
        <v>274</v>
      </c>
      <c r="E76" s="107" t="s">
        <v>274</v>
      </c>
      <c r="F76" s="107"/>
    </row>
    <row r="77" spans="1:6" ht="28.8" hidden="1">
      <c r="A77" s="100" t="s">
        <v>268</v>
      </c>
      <c r="B77" s="101" t="s">
        <v>269</v>
      </c>
      <c r="C77" s="102" t="s">
        <v>270</v>
      </c>
      <c r="D77" s="103" t="s">
        <v>270</v>
      </c>
      <c r="E77" s="103" t="s">
        <v>270</v>
      </c>
      <c r="F77" s="103"/>
    </row>
    <row r="78" spans="1:6" ht="43.2" hidden="1">
      <c r="A78" s="104" t="s">
        <v>280</v>
      </c>
      <c r="B78" s="105" t="s">
        <v>278</v>
      </c>
      <c r="C78" s="106" t="s">
        <v>281</v>
      </c>
      <c r="D78" s="107" t="s">
        <v>114</v>
      </c>
      <c r="E78" s="107"/>
      <c r="F78" s="107"/>
    </row>
    <row r="79" spans="1:6" ht="43.2" hidden="1">
      <c r="A79" s="100" t="s">
        <v>282</v>
      </c>
      <c r="B79" s="101" t="s">
        <v>278</v>
      </c>
      <c r="C79" s="102" t="s">
        <v>283</v>
      </c>
      <c r="D79" s="103" t="s">
        <v>114</v>
      </c>
      <c r="E79" s="103"/>
      <c r="F79" s="103"/>
    </row>
    <row r="80" spans="1:6" ht="28.8" hidden="1">
      <c r="A80" s="104" t="s">
        <v>288</v>
      </c>
      <c r="B80" s="105" t="s">
        <v>201</v>
      </c>
      <c r="C80" s="106" t="s">
        <v>289</v>
      </c>
      <c r="D80" s="107" t="s">
        <v>114</v>
      </c>
      <c r="E80" s="107" t="s">
        <v>289</v>
      </c>
      <c r="F80" s="107"/>
    </row>
    <row r="81" spans="1:6" ht="28.8" hidden="1">
      <c r="A81" s="100" t="s">
        <v>163</v>
      </c>
      <c r="B81" s="101">
        <v>332</v>
      </c>
      <c r="C81" s="102" t="s">
        <v>164</v>
      </c>
      <c r="D81" s="103" t="s">
        <v>114</v>
      </c>
      <c r="E81" s="103"/>
      <c r="F81" s="103"/>
    </row>
    <row r="82" spans="1:6" ht="14.4" hidden="1">
      <c r="A82" s="104" t="s">
        <v>4</v>
      </c>
      <c r="B82" s="105" t="s">
        <v>294</v>
      </c>
      <c r="C82" s="106" t="s">
        <v>4</v>
      </c>
      <c r="D82" s="107" t="s">
        <v>4</v>
      </c>
      <c r="E82" s="107" t="s">
        <v>4</v>
      </c>
      <c r="F82" s="107"/>
    </row>
    <row r="83" spans="1:6" ht="86.4" hidden="1">
      <c r="A83" s="100" t="s">
        <v>295</v>
      </c>
      <c r="B83" s="101">
        <v>365.1</v>
      </c>
      <c r="C83" s="102" t="s">
        <v>296</v>
      </c>
      <c r="D83" s="103" t="s">
        <v>296</v>
      </c>
      <c r="E83" s="103" t="s">
        <v>296</v>
      </c>
      <c r="F83" s="103"/>
    </row>
    <row r="84" spans="1:6" ht="28.8" hidden="1">
      <c r="A84" s="104" t="s">
        <v>243</v>
      </c>
      <c r="B84" s="105" t="s">
        <v>132</v>
      </c>
      <c r="C84" s="106" t="s">
        <v>244</v>
      </c>
      <c r="D84" s="107" t="s">
        <v>244</v>
      </c>
      <c r="E84" s="107" t="s">
        <v>244</v>
      </c>
      <c r="F84" s="107" t="s">
        <v>244</v>
      </c>
    </row>
    <row r="85" spans="1:6" ht="57.6" hidden="1">
      <c r="A85" s="100" t="s">
        <v>245</v>
      </c>
      <c r="B85" s="101" t="s">
        <v>138</v>
      </c>
      <c r="C85" s="102" t="s">
        <v>246</v>
      </c>
      <c r="D85" s="103" t="s">
        <v>114</v>
      </c>
      <c r="E85" s="103"/>
      <c r="F85" s="103"/>
    </row>
    <row r="86" spans="1:6" ht="14.4" hidden="1">
      <c r="A86" s="104" t="s">
        <v>307</v>
      </c>
      <c r="B86" s="105" t="s">
        <v>109</v>
      </c>
      <c r="C86" s="106" t="s">
        <v>308</v>
      </c>
      <c r="D86" s="107" t="s">
        <v>308</v>
      </c>
      <c r="E86" s="107"/>
      <c r="F86" s="107" t="s">
        <v>308</v>
      </c>
    </row>
    <row r="87" spans="1:6" ht="43.2" hidden="1">
      <c r="A87" s="100" t="s">
        <v>309</v>
      </c>
      <c r="B87" s="101" t="s">
        <v>112</v>
      </c>
      <c r="C87" s="102" t="s">
        <v>310</v>
      </c>
      <c r="D87" s="103" t="s">
        <v>114</v>
      </c>
      <c r="E87" s="103"/>
      <c r="F87" s="103"/>
    </row>
    <row r="88" spans="1:6" ht="28.8" hidden="1">
      <c r="A88" s="104" t="s">
        <v>311</v>
      </c>
      <c r="B88" s="105" t="s">
        <v>312</v>
      </c>
      <c r="C88" s="106" t="s">
        <v>313</v>
      </c>
      <c r="D88" s="107" t="s">
        <v>114</v>
      </c>
      <c r="E88" s="130"/>
      <c r="F88" s="107"/>
    </row>
    <row r="89" spans="1:6" ht="14.4" hidden="1">
      <c r="A89" s="100" t="s">
        <v>314</v>
      </c>
      <c r="B89" s="101" t="s">
        <v>315</v>
      </c>
      <c r="C89" s="102" t="s">
        <v>316</v>
      </c>
      <c r="D89" s="103" t="s">
        <v>114</v>
      </c>
      <c r="E89" s="103" t="s">
        <v>316</v>
      </c>
      <c r="F89" s="103"/>
    </row>
    <row r="90" spans="1:6" ht="14.4" hidden="1">
      <c r="A90" s="104" t="s">
        <v>108</v>
      </c>
      <c r="B90" s="105" t="s">
        <v>109</v>
      </c>
      <c r="C90" s="106" t="s">
        <v>110</v>
      </c>
      <c r="D90" s="107" t="s">
        <v>110</v>
      </c>
      <c r="E90" s="107"/>
      <c r="F90" s="107" t="s">
        <v>110</v>
      </c>
    </row>
    <row r="91" spans="1:6" ht="43.2" hidden="1">
      <c r="A91" s="100" t="s">
        <v>111</v>
      </c>
      <c r="B91" s="101" t="s">
        <v>112</v>
      </c>
      <c r="C91" s="102" t="s">
        <v>113</v>
      </c>
      <c r="D91" s="103" t="s">
        <v>114</v>
      </c>
      <c r="E91" s="103"/>
      <c r="F91" s="103"/>
    </row>
    <row r="92" spans="1:6" ht="14.4" hidden="1">
      <c r="A92" s="104" t="s">
        <v>258</v>
      </c>
      <c r="B92" s="105" t="s">
        <v>132</v>
      </c>
      <c r="C92" s="106" t="s">
        <v>5</v>
      </c>
      <c r="D92" s="107" t="s">
        <v>5</v>
      </c>
      <c r="E92" s="107" t="s">
        <v>5</v>
      </c>
      <c r="F92" s="107" t="s">
        <v>5</v>
      </c>
    </row>
    <row r="93" spans="1:6" ht="43.2" hidden="1">
      <c r="A93" s="100" t="s">
        <v>259</v>
      </c>
      <c r="B93" s="101" t="s">
        <v>138</v>
      </c>
      <c r="C93" s="102" t="s">
        <v>260</v>
      </c>
      <c r="D93" s="103" t="s">
        <v>114</v>
      </c>
      <c r="E93" s="103"/>
      <c r="F93" s="103"/>
    </row>
    <row r="94" spans="1:6" ht="43.2" hidden="1">
      <c r="A94" s="104" t="s">
        <v>299</v>
      </c>
      <c r="B94" s="105" t="s">
        <v>132</v>
      </c>
      <c r="C94" s="106" t="s">
        <v>300</v>
      </c>
      <c r="D94" s="107" t="s">
        <v>114</v>
      </c>
      <c r="E94" s="107"/>
      <c r="F94" s="107"/>
    </row>
    <row r="95" spans="1:6" ht="28.8" hidden="1">
      <c r="A95" s="100" t="s">
        <v>319</v>
      </c>
      <c r="B95" s="101" t="s">
        <v>320</v>
      </c>
      <c r="C95" s="102" t="s">
        <v>321</v>
      </c>
      <c r="D95" s="103" t="s">
        <v>114</v>
      </c>
      <c r="E95" s="103" t="s">
        <v>321</v>
      </c>
      <c r="F95" s="103"/>
    </row>
    <row r="96" spans="1:6" ht="14.4" hidden="1">
      <c r="A96" s="104" t="s">
        <v>317</v>
      </c>
      <c r="B96" s="105" t="s">
        <v>158</v>
      </c>
      <c r="C96" s="106" t="s">
        <v>318</v>
      </c>
      <c r="D96" s="107" t="s">
        <v>318</v>
      </c>
      <c r="E96" s="107" t="s">
        <v>318</v>
      </c>
      <c r="F96" s="107"/>
    </row>
    <row r="97" spans="1:6" ht="14.4" hidden="1">
      <c r="A97" s="100" t="s">
        <v>297</v>
      </c>
      <c r="B97" s="101">
        <v>376.1</v>
      </c>
      <c r="C97" s="102" t="s">
        <v>298</v>
      </c>
      <c r="D97" s="103" t="s">
        <v>114</v>
      </c>
      <c r="E97" s="103"/>
      <c r="F97" s="103"/>
    </row>
    <row r="98" spans="1:6" ht="28.8" hidden="1">
      <c r="A98" s="104" t="s">
        <v>247</v>
      </c>
      <c r="B98" s="105" t="s">
        <v>248</v>
      </c>
      <c r="C98" s="106" t="s">
        <v>15</v>
      </c>
      <c r="D98" s="107" t="s">
        <v>114</v>
      </c>
      <c r="E98" s="107"/>
      <c r="F98" s="107"/>
    </row>
    <row r="99" spans="1:6" ht="28.8" hidden="1">
      <c r="A99" s="100" t="s">
        <v>26</v>
      </c>
      <c r="B99" s="101" t="s">
        <v>322</v>
      </c>
      <c r="C99" s="102" t="s">
        <v>323</v>
      </c>
      <c r="D99" s="103" t="s">
        <v>114</v>
      </c>
      <c r="E99" s="103"/>
      <c r="F99" s="103"/>
    </row>
    <row r="100" spans="1:6" ht="28.8" hidden="1">
      <c r="A100" s="104" t="s">
        <v>334</v>
      </c>
      <c r="B100" s="105" t="s">
        <v>294</v>
      </c>
      <c r="C100" s="106" t="s">
        <v>335</v>
      </c>
      <c r="D100" s="107" t="s">
        <v>335</v>
      </c>
      <c r="E100" s="107" t="s">
        <v>335</v>
      </c>
      <c r="F100" s="107"/>
    </row>
    <row r="101" spans="1:6" ht="14.4" hidden="1">
      <c r="A101" s="100" t="s">
        <v>340</v>
      </c>
      <c r="B101" s="101" t="s">
        <v>109</v>
      </c>
      <c r="C101" s="102" t="s">
        <v>341</v>
      </c>
      <c r="D101" s="103" t="s">
        <v>341</v>
      </c>
      <c r="E101" s="103"/>
      <c r="F101" s="103" t="s">
        <v>341</v>
      </c>
    </row>
    <row r="102" spans="1:6" ht="43.2" hidden="1">
      <c r="A102" s="104" t="s">
        <v>342</v>
      </c>
      <c r="B102" s="105" t="s">
        <v>112</v>
      </c>
      <c r="C102" s="106" t="s">
        <v>343</v>
      </c>
      <c r="D102" s="107" t="s">
        <v>114</v>
      </c>
      <c r="E102" s="107"/>
      <c r="F102" s="107"/>
    </row>
    <row r="103" spans="1:6" ht="57.6" hidden="1">
      <c r="A103" s="100" t="s">
        <v>277</v>
      </c>
      <c r="B103" s="101" t="s">
        <v>278</v>
      </c>
      <c r="C103" s="102" t="s">
        <v>279</v>
      </c>
      <c r="D103" s="103" t="s">
        <v>114</v>
      </c>
      <c r="E103" s="103"/>
      <c r="F103" s="103"/>
    </row>
    <row r="104" spans="1:6" ht="72" hidden="1">
      <c r="A104" s="104" t="s">
        <v>356</v>
      </c>
      <c r="B104" s="105" t="s">
        <v>221</v>
      </c>
      <c r="C104" s="106" t="s">
        <v>357</v>
      </c>
      <c r="D104" s="107" t="s">
        <v>114</v>
      </c>
      <c r="E104" s="107"/>
      <c r="F104" s="107"/>
    </row>
    <row r="105" spans="1:6" ht="57.6" hidden="1">
      <c r="A105" s="100" t="s">
        <v>347</v>
      </c>
      <c r="B105" s="101" t="s">
        <v>122</v>
      </c>
      <c r="C105" s="102" t="s">
        <v>348</v>
      </c>
      <c r="D105" s="103" t="s">
        <v>348</v>
      </c>
      <c r="E105" s="103" t="s">
        <v>348</v>
      </c>
      <c r="F105" s="103"/>
    </row>
    <row r="106" spans="1:6" ht="28.8" hidden="1">
      <c r="A106" s="104" t="s">
        <v>349</v>
      </c>
      <c r="B106" s="105" t="s">
        <v>350</v>
      </c>
      <c r="C106" s="106" t="s">
        <v>351</v>
      </c>
      <c r="D106" s="107" t="s">
        <v>114</v>
      </c>
      <c r="E106" s="107" t="s">
        <v>351</v>
      </c>
      <c r="F106" s="107"/>
    </row>
    <row r="107" spans="1:6" ht="28.8" hidden="1">
      <c r="A107" s="100" t="s">
        <v>352</v>
      </c>
      <c r="B107" s="101" t="s">
        <v>350</v>
      </c>
      <c r="C107" s="102" t="s">
        <v>353</v>
      </c>
      <c r="D107" s="103" t="s">
        <v>114</v>
      </c>
      <c r="E107" s="103" t="s">
        <v>353</v>
      </c>
      <c r="F107" s="103"/>
    </row>
    <row r="108" spans="1:6" ht="28.8" hidden="1">
      <c r="A108" s="104" t="s">
        <v>354</v>
      </c>
      <c r="B108" s="105" t="s">
        <v>218</v>
      </c>
      <c r="C108" s="106" t="s">
        <v>355</v>
      </c>
      <c r="D108" s="107" t="s">
        <v>114</v>
      </c>
      <c r="E108" s="107"/>
      <c r="F108" s="107"/>
    </row>
    <row r="109" spans="1:6" ht="72" hidden="1">
      <c r="A109" s="100" t="s">
        <v>330</v>
      </c>
      <c r="B109" s="101" t="s">
        <v>206</v>
      </c>
      <c r="C109" s="102" t="s">
        <v>331</v>
      </c>
      <c r="D109" s="103" t="s">
        <v>114</v>
      </c>
      <c r="E109" s="103"/>
      <c r="F109" s="103"/>
    </row>
    <row r="110" spans="1:6" ht="100.8" hidden="1">
      <c r="A110" s="104" t="s">
        <v>324</v>
      </c>
      <c r="B110" s="105" t="s">
        <v>325</v>
      </c>
      <c r="C110" s="106" t="s">
        <v>326</v>
      </c>
      <c r="D110" s="107" t="s">
        <v>114</v>
      </c>
      <c r="E110" s="107"/>
      <c r="F110" s="107"/>
    </row>
    <row r="111" spans="1:6" ht="86.4" hidden="1">
      <c r="A111" s="100" t="s">
        <v>327</v>
      </c>
      <c r="B111" s="101" t="s">
        <v>328</v>
      </c>
      <c r="C111" s="102" t="s">
        <v>329</v>
      </c>
      <c r="D111" s="103" t="s">
        <v>114</v>
      </c>
      <c r="E111" s="103"/>
      <c r="F111" s="103"/>
    </row>
    <row r="112" spans="1:6" ht="43.2" hidden="1">
      <c r="A112" s="104" t="s">
        <v>332</v>
      </c>
      <c r="B112" s="105" t="s">
        <v>333</v>
      </c>
      <c r="C112" s="106" t="s">
        <v>1</v>
      </c>
      <c r="D112" s="107" t="s">
        <v>1</v>
      </c>
      <c r="E112" s="107" t="s">
        <v>1</v>
      </c>
      <c r="F112" s="107"/>
    </row>
    <row r="113" spans="1:6" ht="57.6" hidden="1">
      <c r="A113" s="100" t="s">
        <v>358</v>
      </c>
      <c r="B113" s="101" t="s">
        <v>132</v>
      </c>
      <c r="C113" s="102" t="s">
        <v>359</v>
      </c>
      <c r="D113" s="103" t="s">
        <v>359</v>
      </c>
      <c r="E113" s="103"/>
      <c r="F113" s="103"/>
    </row>
    <row r="114" spans="1:6" ht="86.4" hidden="1">
      <c r="A114" s="104" t="s">
        <v>360</v>
      </c>
      <c r="B114" s="105" t="s">
        <v>138</v>
      </c>
      <c r="C114" s="106" t="s">
        <v>361</v>
      </c>
      <c r="D114" s="107" t="s">
        <v>114</v>
      </c>
      <c r="E114" s="107"/>
      <c r="F114" s="107"/>
    </row>
    <row r="115" spans="1:6" ht="43.2" hidden="1">
      <c r="A115" s="104" t="s">
        <v>336</v>
      </c>
      <c r="B115" s="105" t="s">
        <v>201</v>
      </c>
      <c r="C115" s="106" t="s">
        <v>337</v>
      </c>
      <c r="D115" s="107"/>
      <c r="E115" s="107"/>
      <c r="F115" s="107"/>
    </row>
    <row r="116" spans="1:6" ht="43.2" hidden="1">
      <c r="A116" s="100" t="s">
        <v>338</v>
      </c>
      <c r="B116" s="101" t="s">
        <v>201</v>
      </c>
      <c r="C116" s="102" t="s">
        <v>339</v>
      </c>
      <c r="D116" s="103" t="s">
        <v>114</v>
      </c>
      <c r="E116" s="103" t="s">
        <v>339</v>
      </c>
      <c r="F116" s="103"/>
    </row>
    <row r="117" spans="1:6" ht="28.8">
      <c r="A117" s="104" t="s">
        <v>362</v>
      </c>
      <c r="B117" s="105" t="s">
        <v>201</v>
      </c>
      <c r="C117" s="106" t="s">
        <v>363</v>
      </c>
      <c r="D117" s="107" t="s">
        <v>114</v>
      </c>
      <c r="E117" s="107" t="s">
        <v>363</v>
      </c>
      <c r="F117" s="107"/>
    </row>
    <row r="118" spans="1:6" ht="57.6" hidden="1">
      <c r="A118" s="100" t="s">
        <v>345</v>
      </c>
      <c r="B118" s="101" t="s">
        <v>199</v>
      </c>
      <c r="C118" s="102" t="s">
        <v>346</v>
      </c>
      <c r="D118" s="103" t="s">
        <v>114</v>
      </c>
      <c r="E118" s="103"/>
      <c r="F118" s="103"/>
    </row>
    <row r="119" spans="1:6" ht="72" hidden="1">
      <c r="A119" s="104" t="s">
        <v>344</v>
      </c>
      <c r="B119" s="105" t="s">
        <v>199</v>
      </c>
      <c r="C119" s="106" t="s">
        <v>14</v>
      </c>
      <c r="D119" s="107" t="s">
        <v>14</v>
      </c>
      <c r="E119" s="107" t="s">
        <v>14</v>
      </c>
      <c r="F119" s="107"/>
    </row>
    <row r="120" spans="1:6" ht="43.2" hidden="1">
      <c r="A120" s="100" t="s">
        <v>186</v>
      </c>
      <c r="B120" s="101" t="s">
        <v>132</v>
      </c>
      <c r="C120" s="102" t="s">
        <v>187</v>
      </c>
      <c r="D120" s="103" t="s">
        <v>114</v>
      </c>
      <c r="E120" s="103"/>
      <c r="F120" s="103"/>
    </row>
    <row r="121" spans="1:6" ht="43.2" hidden="1">
      <c r="A121" s="104" t="s">
        <v>364</v>
      </c>
      <c r="B121" s="105" t="s">
        <v>125</v>
      </c>
      <c r="C121" s="106" t="s">
        <v>365</v>
      </c>
      <c r="D121" s="107" t="s">
        <v>114</v>
      </c>
      <c r="E121" s="107"/>
      <c r="F121" s="107"/>
    </row>
    <row r="122" spans="1:6" ht="14.4" hidden="1">
      <c r="A122" s="100" t="s">
        <v>19</v>
      </c>
      <c r="B122" s="101" t="s">
        <v>366</v>
      </c>
      <c r="C122" s="102" t="s">
        <v>367</v>
      </c>
      <c r="D122" s="103" t="s">
        <v>114</v>
      </c>
      <c r="E122" s="103"/>
      <c r="F122" s="103"/>
    </row>
    <row r="123" spans="1:6" ht="57.6" hidden="1">
      <c r="A123" s="104" t="s">
        <v>377</v>
      </c>
      <c r="B123" s="105" t="s">
        <v>371</v>
      </c>
      <c r="C123" s="106" t="s">
        <v>378</v>
      </c>
      <c r="D123" s="107" t="s">
        <v>114</v>
      </c>
      <c r="E123" s="107"/>
      <c r="F123" s="107"/>
    </row>
    <row r="124" spans="1:6" ht="86.4" hidden="1">
      <c r="A124" s="100" t="s">
        <v>370</v>
      </c>
      <c r="B124" s="101" t="s">
        <v>371</v>
      </c>
      <c r="C124" s="102" t="s">
        <v>372</v>
      </c>
      <c r="D124" s="103" t="s">
        <v>114</v>
      </c>
      <c r="E124" s="103"/>
      <c r="F124" s="103"/>
    </row>
    <row r="125" spans="1:6" ht="86.4" hidden="1">
      <c r="A125" s="104" t="s">
        <v>373</v>
      </c>
      <c r="B125" s="105" t="s">
        <v>371</v>
      </c>
      <c r="C125" s="106" t="s">
        <v>374</v>
      </c>
      <c r="D125" s="107" t="s">
        <v>114</v>
      </c>
      <c r="E125" s="107"/>
      <c r="F125" s="107"/>
    </row>
    <row r="126" spans="1:6" ht="72" hidden="1">
      <c r="A126" s="100" t="s">
        <v>178</v>
      </c>
      <c r="B126" s="101" t="s">
        <v>174</v>
      </c>
      <c r="C126" s="102" t="s">
        <v>179</v>
      </c>
      <c r="D126" s="103" t="s">
        <v>114</v>
      </c>
      <c r="E126" s="103"/>
      <c r="F126" s="103"/>
    </row>
    <row r="127" spans="1:6" ht="14.4" hidden="1">
      <c r="A127" s="104" t="s">
        <v>368</v>
      </c>
      <c r="B127" s="105" t="s">
        <v>109</v>
      </c>
      <c r="C127" s="106" t="s">
        <v>369</v>
      </c>
      <c r="D127" s="107" t="s">
        <v>114</v>
      </c>
      <c r="E127" s="107"/>
      <c r="F127" s="107"/>
    </row>
    <row r="128" spans="1:6" ht="72" hidden="1">
      <c r="A128" s="100" t="s">
        <v>375</v>
      </c>
      <c r="B128" s="101" t="s">
        <v>371</v>
      </c>
      <c r="C128" s="102" t="s">
        <v>376</v>
      </c>
      <c r="D128" s="103" t="s">
        <v>114</v>
      </c>
      <c r="E128" s="103"/>
      <c r="F128" s="103"/>
    </row>
    <row r="129" spans="1:6" ht="28.8" hidden="1">
      <c r="A129" s="104" t="s">
        <v>379</v>
      </c>
      <c r="B129" s="105" t="s">
        <v>109</v>
      </c>
      <c r="C129" s="106" t="s">
        <v>380</v>
      </c>
      <c r="D129" s="107" t="s">
        <v>380</v>
      </c>
      <c r="E129" s="107"/>
      <c r="F129" s="107" t="s">
        <v>380</v>
      </c>
    </row>
    <row r="130" spans="1:6" ht="57.6" hidden="1">
      <c r="A130" s="100" t="s">
        <v>381</v>
      </c>
      <c r="B130" s="101" t="s">
        <v>112</v>
      </c>
      <c r="C130" s="102" t="s">
        <v>382</v>
      </c>
      <c r="D130" s="103" t="s">
        <v>114</v>
      </c>
      <c r="E130" s="103"/>
      <c r="F130" s="103"/>
    </row>
    <row r="131" spans="1:6" ht="14.4" hidden="1">
      <c r="A131" s="104" t="s">
        <v>383</v>
      </c>
      <c r="B131" s="105" t="s">
        <v>109</v>
      </c>
      <c r="C131" s="106" t="s">
        <v>384</v>
      </c>
      <c r="D131" s="107" t="s">
        <v>384</v>
      </c>
      <c r="E131" s="107"/>
      <c r="F131" s="107" t="s">
        <v>384</v>
      </c>
    </row>
    <row r="132" spans="1:6" ht="43.8" hidden="1" thickBot="1">
      <c r="A132" s="110" t="s">
        <v>385</v>
      </c>
      <c r="B132" s="111" t="s">
        <v>112</v>
      </c>
      <c r="C132" s="112" t="s">
        <v>386</v>
      </c>
      <c r="D132" s="113" t="s">
        <v>114</v>
      </c>
      <c r="E132" s="113"/>
      <c r="F132" s="113"/>
    </row>
  </sheetData>
  <autoFilter ref="A2:F132" xr:uid="{A025241F-8862-4D15-BD1D-F728B3504110}">
    <filterColumn colId="0">
      <filters>
        <filter val="Total Nitrogen"/>
      </filters>
    </filterColumn>
    <sortState xmlns:xlrd2="http://schemas.microsoft.com/office/spreadsheetml/2017/richdata2" ref="A3:F132">
      <sortCondition ref="A2:A132"/>
    </sortState>
  </autoFilter>
  <mergeCells count="2">
    <mergeCell ref="A1:C1"/>
    <mergeCell ref="D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A</vt:lpstr>
      <vt:lpstr>Expanded list</vt:lpstr>
      <vt:lpstr>Method list</vt:lpstr>
      <vt:lpstr>A!Print_Area</vt:lpstr>
      <vt:lpstr>PRINT1</vt:lpstr>
      <vt:lpstr>PRINT2</vt:lpstr>
    </vt:vector>
  </TitlesOfParts>
  <Company>Orange County Water Distrct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JMD</dc:creator>
  <cp:lastModifiedBy>Yoko Koyama</cp:lastModifiedBy>
  <cp:lastPrinted>2023-04-18T21:27:56Z</cp:lastPrinted>
  <dcterms:created xsi:type="dcterms:W3CDTF">1998-11-13T00:07:29Z</dcterms:created>
  <dcterms:modified xsi:type="dcterms:W3CDTF">2024-05-31T14:42:12Z</dcterms:modified>
</cp:coreProperties>
</file>